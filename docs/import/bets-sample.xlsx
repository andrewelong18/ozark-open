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0c05b3fd275b60f/Documents/golf/Ozark Open/2026/"/>
    </mc:Choice>
  </mc:AlternateContent>
  <xr:revisionPtr revIDLastSave="11224" documentId="13_ncr:1_{4E5FD3D9-3535-4F26-8CD1-BDFF32DDAB13}" xr6:coauthVersionLast="47" xr6:coauthVersionMax="47" xr10:uidLastSave="{DA467506-D531-41EB-A10E-47B0375418E6}"/>
  <bookViews>
    <workbookView xWindow="-120" yWindow="-120" windowWidth="24240" windowHeight="13020" tabRatio="669" xr2:uid="{00000000-000D-0000-FFFF-FFFF00000000}"/>
  </bookViews>
  <sheets>
    <sheet name="New Architecture" sheetId="2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3" i="22" l="1"/>
  <c r="F24" i="22" s="1"/>
  <c r="F25" i="22" s="1"/>
  <c r="F26" i="22" s="1"/>
  <c r="F27" i="22" s="1"/>
  <c r="F28" i="22" s="1"/>
  <c r="F29" i="22" s="1"/>
  <c r="F30" i="22" s="1"/>
  <c r="F31" i="22" s="1"/>
  <c r="F32" i="22" s="1"/>
  <c r="F33" i="22" s="1"/>
  <c r="F34" i="22" s="1"/>
  <c r="F35" i="22" s="1"/>
  <c r="F36" i="22" s="1"/>
  <c r="F37" i="22" s="1"/>
  <c r="F38" i="22" s="1"/>
  <c r="F39" i="22" s="1"/>
  <c r="F40" i="22" s="1"/>
  <c r="F41" i="22" s="1"/>
  <c r="F42" i="22" s="1"/>
  <c r="F43" i="22" s="1"/>
  <c r="F44" i="22" s="1"/>
  <c r="F45" i="22" s="1"/>
  <c r="F46" i="22" s="1"/>
  <c r="F47" i="22" s="1"/>
  <c r="F48" i="22" s="1"/>
  <c r="F49" i="22" s="1"/>
  <c r="F50" i="22" s="1"/>
  <c r="F51" i="22" s="1"/>
  <c r="F52" i="22" s="1"/>
  <c r="F53" i="22" s="1"/>
  <c r="F54" i="22" s="1"/>
  <c r="F55" i="22" s="1"/>
  <c r="F56" i="22" s="1"/>
  <c r="F57" i="22" s="1"/>
  <c r="F58" i="22" s="1"/>
  <c r="F59" i="22" s="1"/>
  <c r="F60" i="22" s="1"/>
  <c r="F61" i="22" s="1"/>
  <c r="F62" i="22" s="1"/>
  <c r="F63" i="22" s="1"/>
  <c r="F64" i="22" s="1"/>
  <c r="F65" i="22" s="1"/>
  <c r="F66" i="22" s="1"/>
  <c r="F67" i="22" s="1"/>
  <c r="F68" i="22" s="1"/>
  <c r="F69" i="22" s="1"/>
  <c r="F70" i="22" s="1"/>
  <c r="F71" i="22" s="1"/>
  <c r="F72" i="22" s="1"/>
  <c r="F73" i="22" s="1"/>
  <c r="F74" i="22" s="1"/>
  <c r="F75" i="22" s="1"/>
  <c r="F76" i="22" s="1"/>
  <c r="F77" i="22" s="1"/>
  <c r="F78" i="22" s="1"/>
  <c r="F79" i="22" s="1"/>
  <c r="F80" i="22" s="1"/>
  <c r="F81" i="22" s="1"/>
  <c r="F82" i="22" s="1"/>
  <c r="F83" i="22" s="1"/>
  <c r="F84" i="22" s="1"/>
  <c r="F85" i="22" s="1"/>
  <c r="F86" i="22" s="1"/>
  <c r="F87" i="22" s="1"/>
  <c r="F88" i="22" s="1"/>
  <c r="N50" i="22"/>
  <c r="O50" i="22"/>
  <c r="O49" i="22"/>
  <c r="N49" i="22"/>
  <c r="N47" i="22"/>
  <c r="O47" i="22" s="1"/>
  <c r="N48" i="22"/>
  <c r="O48" i="22" s="1"/>
  <c r="N42" i="22"/>
  <c r="N43" i="22"/>
  <c r="N39" i="22"/>
  <c r="N40" i="22"/>
  <c r="N41" i="22"/>
  <c r="N38" i="22"/>
  <c r="N45" i="22"/>
  <c r="O45" i="22" s="1"/>
  <c r="N46" i="22"/>
  <c r="O46" i="22" s="1"/>
  <c r="N44" i="22"/>
  <c r="O44" i="22" s="1"/>
  <c r="L3" i="22"/>
  <c r="L4" i="22"/>
  <c r="L5" i="22"/>
  <c r="L6" i="22"/>
  <c r="L7" i="22"/>
  <c r="L8" i="22"/>
  <c r="L9" i="22"/>
  <c r="L10" i="22"/>
  <c r="L11" i="22"/>
  <c r="L12" i="22"/>
  <c r="L13" i="22"/>
  <c r="L14" i="22"/>
  <c r="L15" i="22"/>
  <c r="L16" i="22"/>
  <c r="L17" i="22"/>
  <c r="L18" i="22"/>
  <c r="L19" i="22"/>
  <c r="L20" i="22"/>
  <c r="L21" i="22"/>
  <c r="L22" i="22"/>
  <c r="L23" i="22"/>
  <c r="L24" i="22"/>
  <c r="L25" i="22"/>
  <c r="L26" i="22"/>
  <c r="L27" i="22"/>
  <c r="L28" i="22"/>
  <c r="L29" i="22"/>
  <c r="L30" i="22"/>
  <c r="L31" i="22"/>
  <c r="L32" i="22"/>
  <c r="L33" i="22"/>
  <c r="L34" i="22"/>
  <c r="L35" i="22"/>
  <c r="L36" i="22"/>
  <c r="L37" i="22"/>
  <c r="L38" i="22"/>
  <c r="L39" i="22"/>
  <c r="L40" i="22"/>
  <c r="L41" i="22"/>
  <c r="L42" i="22"/>
  <c r="L43" i="22"/>
  <c r="L44" i="22"/>
  <c r="L45" i="22"/>
  <c r="L46" i="22"/>
  <c r="L47" i="22"/>
  <c r="L48" i="22"/>
  <c r="L49" i="22"/>
  <c r="L50" i="22"/>
  <c r="L51" i="22"/>
  <c r="L52" i="22"/>
  <c r="L53" i="22"/>
  <c r="L54" i="22"/>
  <c r="L55" i="22"/>
  <c r="L56" i="22"/>
  <c r="L57" i="22"/>
  <c r="L58" i="22"/>
  <c r="L59" i="22"/>
  <c r="L60" i="22"/>
  <c r="L61" i="22"/>
  <c r="L62" i="22"/>
  <c r="L63" i="22"/>
  <c r="L64" i="22"/>
  <c r="L65" i="22"/>
  <c r="L66" i="22"/>
  <c r="L67" i="22"/>
  <c r="L68" i="22"/>
  <c r="L69" i="22"/>
  <c r="L70" i="22"/>
  <c r="L71" i="22"/>
  <c r="L72" i="22"/>
  <c r="L73" i="22"/>
  <c r="L74" i="22"/>
  <c r="L75" i="22"/>
  <c r="L76" i="22"/>
  <c r="L77" i="22"/>
  <c r="L78" i="22"/>
  <c r="L79" i="22"/>
  <c r="L80" i="22"/>
  <c r="L81" i="22"/>
  <c r="L82" i="22"/>
  <c r="L83" i="22"/>
  <c r="L84" i="22"/>
  <c r="L85" i="22"/>
  <c r="L86" i="22"/>
  <c r="L87" i="22"/>
  <c r="L88" i="22"/>
  <c r="L2" i="22"/>
  <c r="K88" i="22"/>
  <c r="J88" i="22"/>
  <c r="K87" i="22"/>
  <c r="J87" i="22"/>
  <c r="J24" i="22"/>
  <c r="K24" i="22"/>
  <c r="J25" i="22"/>
  <c r="K25" i="22"/>
  <c r="J26" i="22"/>
  <c r="K26" i="22"/>
  <c r="J27" i="22"/>
  <c r="K27" i="22"/>
  <c r="J28" i="22"/>
  <c r="K28" i="22"/>
  <c r="J29" i="22"/>
  <c r="K29" i="22"/>
  <c r="J30" i="22"/>
  <c r="K30" i="22"/>
  <c r="J31" i="22"/>
  <c r="K31" i="22"/>
  <c r="J32" i="22"/>
  <c r="K32" i="22"/>
  <c r="J33" i="22"/>
  <c r="K33" i="22"/>
  <c r="J34" i="22"/>
  <c r="K34" i="22"/>
  <c r="J35" i="22"/>
  <c r="K35" i="22"/>
  <c r="F3" i="22"/>
  <c r="F4" i="22" s="1"/>
  <c r="F5" i="22" s="1"/>
  <c r="F6" i="22" s="1"/>
  <c r="F7" i="22" s="1"/>
  <c r="F8" i="22" s="1"/>
  <c r="F9" i="22" s="1"/>
  <c r="F10" i="22" s="1"/>
  <c r="F11" i="22" s="1"/>
  <c r="F12" i="22" s="1"/>
  <c r="F13" i="22" s="1"/>
  <c r="F14" i="22" s="1"/>
  <c r="F15" i="22" s="1"/>
  <c r="F16" i="22" s="1"/>
  <c r="F17" i="22" s="1"/>
  <c r="F18" i="22" s="1"/>
  <c r="F19" i="22" s="1"/>
  <c r="F20" i="22" s="1"/>
  <c r="F21" i="22" s="1"/>
  <c r="F22" i="22" s="1"/>
  <c r="J71" i="22"/>
  <c r="K71" i="22"/>
  <c r="J72" i="22"/>
  <c r="K72" i="22"/>
  <c r="J73" i="22"/>
  <c r="K73" i="22"/>
  <c r="J74" i="22"/>
  <c r="K74" i="22"/>
  <c r="J75" i="22"/>
  <c r="K75" i="22"/>
  <c r="J76" i="22"/>
  <c r="K76" i="22"/>
  <c r="J77" i="22"/>
  <c r="K77" i="22"/>
  <c r="J78" i="22"/>
  <c r="K78" i="22"/>
  <c r="J79" i="22"/>
  <c r="K79" i="22"/>
  <c r="J80" i="22"/>
  <c r="K80" i="22"/>
  <c r="J81" i="22"/>
  <c r="K81" i="22"/>
  <c r="J82" i="22"/>
  <c r="K82" i="22"/>
  <c r="J85" i="22"/>
  <c r="K85" i="22"/>
  <c r="J86" i="22"/>
  <c r="K86" i="22"/>
  <c r="J84" i="22"/>
  <c r="K84" i="22"/>
  <c r="J83" i="22"/>
  <c r="K83" i="22"/>
  <c r="J50" i="22"/>
  <c r="J56" i="22"/>
  <c r="J58" i="22"/>
  <c r="J59" i="22"/>
  <c r="J60" i="22"/>
  <c r="J61" i="22"/>
  <c r="J62" i="22"/>
  <c r="J63" i="22"/>
  <c r="J64" i="22"/>
  <c r="J65" i="22"/>
  <c r="J66" i="22"/>
  <c r="J67" i="22"/>
  <c r="J68" i="22"/>
  <c r="J69" i="22"/>
  <c r="J70" i="22"/>
  <c r="K64" i="22"/>
  <c r="K65" i="22"/>
  <c r="K66" i="22"/>
  <c r="K67" i="22"/>
  <c r="K68" i="22"/>
  <c r="K69" i="22"/>
  <c r="K70" i="22"/>
  <c r="K63" i="22"/>
  <c r="K59" i="22"/>
  <c r="K60" i="22"/>
  <c r="K61" i="22"/>
  <c r="K62" i="22"/>
  <c r="K58" i="22"/>
  <c r="J57" i="22"/>
  <c r="K56" i="22"/>
  <c r="K55" i="22"/>
  <c r="J53" i="22"/>
  <c r="J54" i="22"/>
  <c r="J52" i="22"/>
  <c r="K51" i="22"/>
  <c r="K50" i="22"/>
  <c r="K49" i="22"/>
  <c r="K48" i="22"/>
  <c r="K47" i="22"/>
  <c r="K44" i="22"/>
  <c r="J45" i="22"/>
  <c r="K46" i="22"/>
  <c r="J43" i="22"/>
  <c r="J42" i="22"/>
  <c r="K39" i="22"/>
  <c r="K40" i="22"/>
  <c r="K41" i="22"/>
  <c r="K38" i="22"/>
  <c r="K37" i="22"/>
  <c r="K36" i="22"/>
  <c r="J15" i="22"/>
  <c r="J16" i="22"/>
  <c r="J17" i="22"/>
  <c r="J18" i="22"/>
  <c r="K19" i="22"/>
  <c r="K20" i="22"/>
  <c r="J21" i="22"/>
  <c r="J22" i="22"/>
  <c r="J23" i="22"/>
  <c r="J14" i="22"/>
  <c r="K3" i="22"/>
  <c r="K4" i="22"/>
  <c r="J5" i="22"/>
  <c r="J6" i="22"/>
  <c r="J7" i="22"/>
  <c r="J8" i="22"/>
  <c r="J9" i="22"/>
  <c r="J10" i="22"/>
  <c r="K11" i="22"/>
  <c r="K12" i="22"/>
  <c r="J13" i="22"/>
  <c r="J2" i="22"/>
  <c r="J48" i="22" l="1"/>
  <c r="J38" i="22"/>
  <c r="K53" i="22"/>
  <c r="J36" i="22"/>
  <c r="J40" i="22"/>
  <c r="J20" i="22"/>
  <c r="J55" i="22"/>
  <c r="J12" i="22"/>
  <c r="J4" i="22"/>
  <c r="J47" i="22"/>
  <c r="J46" i="22"/>
  <c r="J37" i="22"/>
  <c r="K43" i="22"/>
  <c r="J51" i="22"/>
  <c r="J44" i="22"/>
  <c r="K42" i="22"/>
  <c r="K45" i="22"/>
  <c r="J39" i="22"/>
  <c r="J19" i="22"/>
  <c r="J11" i="22"/>
  <c r="J3" i="22"/>
  <c r="J49" i="22"/>
  <c r="J41" i="22"/>
  <c r="K52" i="22"/>
  <c r="K54" i="22"/>
  <c r="K57" i="22"/>
  <c r="K2" i="22"/>
  <c r="K18" i="22"/>
  <c r="K10" i="22"/>
  <c r="K17" i="22"/>
  <c r="K9" i="22"/>
  <c r="K16" i="22"/>
  <c r="K8" i="22"/>
  <c r="K23" i="22"/>
  <c r="K15" i="22"/>
  <c r="K7" i="22"/>
  <c r="K22" i="22"/>
  <c r="K14" i="22"/>
  <c r="K6" i="22"/>
  <c r="K21" i="22"/>
  <c r="K13" i="22"/>
  <c r="K5" i="22"/>
</calcChain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<sst xmlns="http://schemas.openxmlformats.org/spreadsheetml/2006/main" count="537" uniqueCount="68">
  <si>
    <t>Alex Leslie</t>
  </si>
  <si>
    <t>Devin Arand</t>
  </si>
  <si>
    <t>Ethan Kipping</t>
  </si>
  <si>
    <t>Pat Leicht</t>
  </si>
  <si>
    <t>Jake Kohne</t>
  </si>
  <si>
    <t>Joey Suntrup</t>
  </si>
  <si>
    <t>Dustin Scheller</t>
  </si>
  <si>
    <t>Dan Mercer</t>
  </si>
  <si>
    <t>Garrett Klenke</t>
  </si>
  <si>
    <t>Hayden Schiller</t>
  </si>
  <si>
    <t>Mike Vemmer</t>
  </si>
  <si>
    <t>Rob Vemmer</t>
  </si>
  <si>
    <t>Steve Jones</t>
  </si>
  <si>
    <t>Round 1</t>
  </si>
  <si>
    <t>Round 3</t>
  </si>
  <si>
    <t>Jacob Geringer</t>
  </si>
  <si>
    <t>Hit</t>
  </si>
  <si>
    <t>Win Tournament</t>
  </si>
  <si>
    <t>Yes</t>
  </si>
  <si>
    <t>No</t>
  </si>
  <si>
    <t>Field</t>
  </si>
  <si>
    <t>Tournament</t>
  </si>
  <si>
    <t>bet_id</t>
  </si>
  <si>
    <t>category</t>
  </si>
  <si>
    <t>bet</t>
  </si>
  <si>
    <t>Top Finisher</t>
  </si>
  <si>
    <t>Top X Finisher</t>
  </si>
  <si>
    <t>american_odds</t>
  </si>
  <si>
    <t>Match</t>
  </si>
  <si>
    <t>Group Match</t>
  </si>
  <si>
    <t>phase</t>
  </si>
  <si>
    <t>Prop Bet</t>
  </si>
  <si>
    <t>pick_id</t>
  </si>
  <si>
    <t>pick</t>
  </si>
  <si>
    <t>Even</t>
  </si>
  <si>
    <t>Odd</t>
  </si>
  <si>
    <t>fractional_odds</t>
  </si>
  <si>
    <t>Top 6 Finish</t>
  </si>
  <si>
    <t>status</t>
  </si>
  <si>
    <t>closed</t>
  </si>
  <si>
    <t>result</t>
  </si>
  <si>
    <t>probability</t>
  </si>
  <si>
    <t>total_probability</t>
  </si>
  <si>
    <t>Match - Round 1</t>
  </si>
  <si>
    <t>Medalist - Round 1</t>
  </si>
  <si>
    <t>Top 4 Finish</t>
  </si>
  <si>
    <t>Group Match - Round 1</t>
  </si>
  <si>
    <t>Jake Kohne (E)</t>
  </si>
  <si>
    <t>Steve Jones (-5)</t>
  </si>
  <si>
    <t>Mike Yenzer (-10)</t>
  </si>
  <si>
    <t>hidden</t>
  </si>
  <si>
    <t>Medalist - Round 3</t>
  </si>
  <si>
    <t>Brendan Nulsen (E)</t>
  </si>
  <si>
    <t>Austin Davis (-10)</t>
  </si>
  <si>
    <t>Match - Round 3</t>
  </si>
  <si>
    <t>Mike Yenzer (E)</t>
  </si>
  <si>
    <t>Evan Shippee (-5)</t>
  </si>
  <si>
    <t>Lowest 18 hole score will be lower than highest 9 hole score</t>
  </si>
  <si>
    <t>Jake Kohne, Steve Jones, and Mike Yenzer best ball is under 80.5</t>
  </si>
  <si>
    <t>Alex Leslie, Devin Arand, Ethan Kipping, and Pat Leicht's best ball will beat Dan Mercer and Garrett Klenke's best ball</t>
  </si>
  <si>
    <t>Worst score to par to win a hole in match play is triple bogey or worse.</t>
  </si>
  <si>
    <t>More Even or Odd hole scores</t>
  </si>
  <si>
    <t>helper1</t>
  </si>
  <si>
    <t>helper2</t>
  </si>
  <si>
    <t>Miss</t>
  </si>
  <si>
    <t>round</t>
  </si>
  <si>
    <t>Push</t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</si>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</sst>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%"/>
    <numFmt numFmtId="174" formatCode="\+000;\-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166" fontId="0" fillId="0" borderId="0" xfId="1" applyNumberFormat="1" applyFont="1" applyAlignment="1">
      <alignment horizontal="center" vertical="center"/>
    </xf>
    <xf numFmtId="0" fontId="0" fillId="0" borderId="0" xfId="0" applyAlignment="1">
      <alignment vertical="top" wrapText="1"/>
    </xf>
    <xf numFmtId="174" fontId="0" fillId="0" borderId="0" xfId="0" applyNumberFormat="1" applyAlignment="1">
      <alignment horizontal="right" vertical="center"/>
    </xf>
    <xf numFmtId="166" fontId="0" fillId="0" borderId="0" xfId="1" applyNumberFormat="1" applyFont="1"/>
  </cellXfs>
  <cellStyles count="2">
    <cellStyle name="Normal" xfId="0" builtinId="0"/>
    <cellStyle name="Percent" xfId="1" builtinId="5"/>
  </cellStyles>
  <dxfs count="3"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C00000"/>
      <color rgb="FF006647"/>
      <color rgb="FFBF8F00"/>
      <color rgb="FFF5E200"/>
      <color rgb="FF6C7074"/>
      <color rgb="FFFEFEFE"/>
      <color rgb="FFB3D1C8"/>
      <color rgb="FFC3002F"/>
      <color rgb="FF008000"/>
      <color rgb="FFE5F01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3/09/relationships/Python" Target="pyth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C4089-7940-4391-8854-C918C6FA4A1A}">
  <dimension ref="A1:O88"/>
  <sheetViews>
    <sheetView tabSelected="1" workbookViewId="0">
      <selection activeCell="G11" sqref="G11"/>
    </sheetView>
  </sheetViews>
  <sheetFormatPr defaultRowHeight="15" x14ac:dyDescent="0.25"/>
  <cols>
    <col min="1" max="1" width="6.28515625" bestFit="1" customWidth="1"/>
    <col min="2" max="2" width="7.28515625" bestFit="1" customWidth="1"/>
    <col min="3" max="3" width="11.85546875" bestFit="1" customWidth="1"/>
    <col min="4" max="4" width="13.5703125" bestFit="1" customWidth="1"/>
    <col min="5" max="5" width="8.85546875" bestFit="1" customWidth="1"/>
    <col min="6" max="6" width="6.7109375" bestFit="1" customWidth="1"/>
    <col min="7" max="7" width="44.5703125" customWidth="1"/>
    <col min="8" max="8" width="18.28515625" bestFit="1" customWidth="1"/>
    <col min="9" max="9" width="14.5703125" bestFit="1" customWidth="1"/>
    <col min="10" max="10" width="15.7109375" bestFit="1" customWidth="1"/>
    <col min="11" max="11" width="19.140625" bestFit="1" customWidth="1"/>
    <col min="12" max="12" width="16" bestFit="1" customWidth="1"/>
    <col min="16" max="16" width="15.5703125" bestFit="1" customWidth="1"/>
  </cols>
  <sheetData>
    <row r="1" spans="1:15" x14ac:dyDescent="0.25">
      <c r="A1" t="s">
        <v>30</v>
      </c>
      <c r="B1" t="s">
        <v>38</v>
      </c>
      <c r="C1" t="s">
        <v>65</v>
      </c>
      <c r="D1" t="s">
        <v>23</v>
      </c>
      <c r="E1" t="s">
        <v>22</v>
      </c>
      <c r="F1" t="s">
        <v>32</v>
      </c>
      <c r="G1" t="s">
        <v>24</v>
      </c>
      <c r="H1" t="s">
        <v>33</v>
      </c>
      <c r="I1" t="s">
        <v>27</v>
      </c>
      <c r="J1" t="s">
        <v>36</v>
      </c>
      <c r="K1" t="s">
        <v>41</v>
      </c>
      <c r="L1" t="s">
        <v>42</v>
      </c>
      <c r="M1" t="s">
        <v>40</v>
      </c>
      <c r="N1" t="s">
        <v>62</v>
      </c>
      <c r="O1" t="s">
        <v>63</v>
      </c>
    </row>
    <row r="2" spans="1:15" x14ac:dyDescent="0.25">
      <c r="A2">
        <v>1</v>
      </c>
      <c r="B2" t="s">
        <v>39</v>
      </c>
      <c r="C2" t="s">
        <v>21</v>
      </c>
      <c r="D2" t="s">
        <v>25</v>
      </c>
      <c r="E2">
        <v>1</v>
      </c>
      <c r="F2">
        <v>1</v>
      </c>
      <c r="G2" t="s">
        <v>17</v>
      </c>
      <c r="H2" t="s">
        <v>7</v>
      </c>
      <c r="I2" s="4">
        <v>110</v>
      </c>
      <c r="J2" s="1" t="str">
        <f>_xlfn.LET(
    _xlpm.o, I2,
    _xlpm.abs_o, ABS(_xlpm.o),
    _xlpm.num, IF(_xlpm.o&gt;0, _xlpm.o, _xlpm.abs_o),
    _xlpm.den, IF(_xlpm.o&gt;0, 100, 100+_xlpm.abs_o),
    _xlpm.g, GCD(_xlpm.num, _xlpm.den),
    (_xlpm.num/_xlpm.g) &amp; "/" &amp; (_xlpm.den/_xlpm.g)
)</f>
        <v>11/10</v>
      </c>
      <c r="K2" s="2">
        <f t="shared" ref="K2:K43" si="0">_xlfn.LET(
    _xlpm.o, VALUE(I2),
    _xlpm.prob, IF(_xlpm.o&gt;0, 100/(_xlpm.o+100), ABS(_xlpm.o)/(ABS(_xlpm.o)+100)),
    _xlpm.prob
)</f>
        <v>0.47619047619047616</v>
      </c>
      <c r="L2" s="5">
        <f>SUMIF(E:E,E2,K:K)</f>
        <v>1.548063562820406</v>
      </c>
      <c r="M2" t="s">
        <v>16</v>
      </c>
    </row>
    <row r="3" spans="1:15" x14ac:dyDescent="0.25">
      <c r="A3">
        <v>1</v>
      </c>
      <c r="B3" t="s">
        <v>39</v>
      </c>
      <c r="C3" t="s">
        <v>21</v>
      </c>
      <c r="D3" t="s">
        <v>25</v>
      </c>
      <c r="E3">
        <v>1</v>
      </c>
      <c r="F3">
        <f>F2+1</f>
        <v>2</v>
      </c>
      <c r="G3" t="s">
        <v>17</v>
      </c>
      <c r="H3" t="s">
        <v>8</v>
      </c>
      <c r="I3" s="4">
        <v>200</v>
      </c>
      <c r="J3" s="1" t="str">
        <f t="shared" ref="J3:J74" si="1">_xlfn.LET(
    _xlpm.o, I3,
    _xlpm.abs_o, ABS(_xlpm.o),
    _xlpm.num, IF(_xlpm.o&gt;0, _xlpm.o, _xlpm.abs_o),
    _xlpm.den, IF(_xlpm.o&gt;0, 100, 100+_xlpm.abs_o),
    _xlpm.g, GCD(_xlpm.num, _xlpm.den),
    (_xlpm.num/_xlpm.g) &amp; "/" &amp; (_xlpm.den/_xlpm.g)
)</f>
        <v>2/1</v>
      </c>
      <c r="K3" s="2">
        <f t="shared" si="0"/>
        <v>0.33333333333333331</v>
      </c>
      <c r="L3" s="5">
        <f t="shared" ref="L3:L66" si="2">SUMIF(E:E,E3,K:K)</f>
        <v>1.548063562820406</v>
      </c>
      <c r="M3" t="s">
        <v>64</v>
      </c>
    </row>
    <row r="4" spans="1:15" x14ac:dyDescent="0.25">
      <c r="A4">
        <v>1</v>
      </c>
      <c r="B4" t="s">
        <v>39</v>
      </c>
      <c r="C4" t="s">
        <v>21</v>
      </c>
      <c r="D4" t="s">
        <v>25</v>
      </c>
      <c r="E4">
        <v>1</v>
      </c>
      <c r="F4">
        <f t="shared" ref="F4:F75" si="3">F3+1</f>
        <v>3</v>
      </c>
      <c r="G4" t="s">
        <v>17</v>
      </c>
      <c r="H4" t="s">
        <v>2</v>
      </c>
      <c r="I4" s="4">
        <v>400</v>
      </c>
      <c r="J4" s="1" t="str">
        <f t="shared" si="1"/>
        <v>4/1</v>
      </c>
      <c r="K4" s="2">
        <f t="shared" si="0"/>
        <v>0.2</v>
      </c>
      <c r="L4" s="5">
        <f t="shared" si="2"/>
        <v>1.548063562820406</v>
      </c>
      <c r="M4" t="s">
        <v>64</v>
      </c>
    </row>
    <row r="5" spans="1:15" x14ac:dyDescent="0.25">
      <c r="A5">
        <v>1</v>
      </c>
      <c r="B5" t="s">
        <v>39</v>
      </c>
      <c r="C5" t="s">
        <v>21</v>
      </c>
      <c r="D5" t="s">
        <v>25</v>
      </c>
      <c r="E5">
        <v>1</v>
      </c>
      <c r="F5">
        <f t="shared" si="3"/>
        <v>4</v>
      </c>
      <c r="G5" t="s">
        <v>17</v>
      </c>
      <c r="H5" t="s">
        <v>0</v>
      </c>
      <c r="I5" s="4">
        <v>900</v>
      </c>
      <c r="J5" s="1" t="str">
        <f t="shared" si="1"/>
        <v>9/1</v>
      </c>
      <c r="K5" s="2">
        <f t="shared" si="0"/>
        <v>0.1</v>
      </c>
      <c r="L5" s="5">
        <f t="shared" si="2"/>
        <v>1.548063562820406</v>
      </c>
      <c r="M5" t="s">
        <v>64</v>
      </c>
    </row>
    <row r="6" spans="1:15" x14ac:dyDescent="0.25">
      <c r="A6">
        <v>1</v>
      </c>
      <c r="B6" t="s">
        <v>39</v>
      </c>
      <c r="C6" t="s">
        <v>21</v>
      </c>
      <c r="D6" t="s">
        <v>25</v>
      </c>
      <c r="E6">
        <v>1</v>
      </c>
      <c r="F6">
        <f t="shared" si="3"/>
        <v>5</v>
      </c>
      <c r="G6" t="s">
        <v>17</v>
      </c>
      <c r="H6" t="s">
        <v>1</v>
      </c>
      <c r="I6" s="4">
        <v>700</v>
      </c>
      <c r="J6" s="1" t="str">
        <f t="shared" si="1"/>
        <v>7/1</v>
      </c>
      <c r="K6" s="2">
        <f t="shared" si="0"/>
        <v>0.125</v>
      </c>
      <c r="L6" s="5">
        <f t="shared" si="2"/>
        <v>1.548063562820406</v>
      </c>
      <c r="M6" t="s">
        <v>64</v>
      </c>
    </row>
    <row r="7" spans="1:15" x14ac:dyDescent="0.25">
      <c r="A7">
        <v>1</v>
      </c>
      <c r="B7" t="s">
        <v>39</v>
      </c>
      <c r="C7" t="s">
        <v>21</v>
      </c>
      <c r="D7" t="s">
        <v>25</v>
      </c>
      <c r="E7">
        <v>1</v>
      </c>
      <c r="F7">
        <f t="shared" si="3"/>
        <v>6</v>
      </c>
      <c r="G7" t="s">
        <v>17</v>
      </c>
      <c r="H7" t="s">
        <v>3</v>
      </c>
      <c r="I7" s="4">
        <v>1200</v>
      </c>
      <c r="J7" s="1" t="str">
        <f t="shared" si="1"/>
        <v>12/1</v>
      </c>
      <c r="K7" s="2">
        <f t="shared" si="0"/>
        <v>7.6923076923076927E-2</v>
      </c>
      <c r="L7" s="5">
        <f t="shared" si="2"/>
        <v>1.548063562820406</v>
      </c>
      <c r="M7" t="s">
        <v>64</v>
      </c>
    </row>
    <row r="8" spans="1:15" x14ac:dyDescent="0.25">
      <c r="A8">
        <v>1</v>
      </c>
      <c r="B8" t="s">
        <v>39</v>
      </c>
      <c r="C8" t="s">
        <v>21</v>
      </c>
      <c r="D8" t="s">
        <v>25</v>
      </c>
      <c r="E8">
        <v>1</v>
      </c>
      <c r="F8">
        <f t="shared" si="3"/>
        <v>7</v>
      </c>
      <c r="G8" t="s">
        <v>17</v>
      </c>
      <c r="H8" t="s">
        <v>6</v>
      </c>
      <c r="I8" s="4">
        <v>1500</v>
      </c>
      <c r="J8" s="1" t="str">
        <f t="shared" si="1"/>
        <v>15/1</v>
      </c>
      <c r="K8" s="2">
        <f t="shared" si="0"/>
        <v>6.25E-2</v>
      </c>
      <c r="L8" s="5">
        <f t="shared" si="2"/>
        <v>1.548063562820406</v>
      </c>
      <c r="M8" t="s">
        <v>64</v>
      </c>
    </row>
    <row r="9" spans="1:15" x14ac:dyDescent="0.25">
      <c r="A9">
        <v>1</v>
      </c>
      <c r="B9" t="s">
        <v>39</v>
      </c>
      <c r="C9" t="s">
        <v>21</v>
      </c>
      <c r="D9" t="s">
        <v>25</v>
      </c>
      <c r="E9">
        <v>1</v>
      </c>
      <c r="F9">
        <f t="shared" si="3"/>
        <v>8</v>
      </c>
      <c r="G9" t="s">
        <v>17</v>
      </c>
      <c r="H9" t="s">
        <v>10</v>
      </c>
      <c r="I9" s="4">
        <v>1500</v>
      </c>
      <c r="J9" s="1" t="str">
        <f t="shared" si="1"/>
        <v>15/1</v>
      </c>
      <c r="K9" s="2">
        <f t="shared" si="0"/>
        <v>6.25E-2</v>
      </c>
      <c r="L9" s="5">
        <f t="shared" si="2"/>
        <v>1.548063562820406</v>
      </c>
      <c r="M9" t="s">
        <v>64</v>
      </c>
    </row>
    <row r="10" spans="1:15" x14ac:dyDescent="0.25">
      <c r="A10">
        <v>1</v>
      </c>
      <c r="B10" t="s">
        <v>39</v>
      </c>
      <c r="C10" t="s">
        <v>21</v>
      </c>
      <c r="D10" t="s">
        <v>25</v>
      </c>
      <c r="E10">
        <v>1</v>
      </c>
      <c r="F10">
        <f t="shared" si="3"/>
        <v>9</v>
      </c>
      <c r="G10" t="s">
        <v>17</v>
      </c>
      <c r="H10" t="s">
        <v>11</v>
      </c>
      <c r="I10" s="4">
        <v>1500</v>
      </c>
      <c r="J10" s="1" t="str">
        <f t="shared" si="1"/>
        <v>15/1</v>
      </c>
      <c r="K10" s="2">
        <f t="shared" si="0"/>
        <v>6.25E-2</v>
      </c>
      <c r="L10" s="5">
        <f t="shared" si="2"/>
        <v>1.548063562820406</v>
      </c>
      <c r="M10" t="s">
        <v>64</v>
      </c>
    </row>
    <row r="11" spans="1:15" x14ac:dyDescent="0.25">
      <c r="A11">
        <v>1</v>
      </c>
      <c r="B11" t="s">
        <v>39</v>
      </c>
      <c r="C11" t="s">
        <v>21</v>
      </c>
      <c r="D11" t="s">
        <v>25</v>
      </c>
      <c r="E11">
        <v>1</v>
      </c>
      <c r="F11">
        <f t="shared" si="3"/>
        <v>10</v>
      </c>
      <c r="G11" t="s">
        <v>17</v>
      </c>
      <c r="H11" t="s">
        <v>4</v>
      </c>
      <c r="I11" s="4">
        <v>5000</v>
      </c>
      <c r="J11" s="1" t="str">
        <f t="shared" si="1"/>
        <v>50/1</v>
      </c>
      <c r="K11" s="2">
        <f t="shared" si="0"/>
        <v>1.9607843137254902E-2</v>
      </c>
      <c r="L11" s="5">
        <f t="shared" si="2"/>
        <v>1.548063562820406</v>
      </c>
      <c r="M11" t="s">
        <v>64</v>
      </c>
    </row>
    <row r="12" spans="1:15" x14ac:dyDescent="0.25">
      <c r="A12">
        <v>1</v>
      </c>
      <c r="B12" t="s">
        <v>39</v>
      </c>
      <c r="C12" t="s">
        <v>21</v>
      </c>
      <c r="D12" t="s">
        <v>25</v>
      </c>
      <c r="E12">
        <v>1</v>
      </c>
      <c r="F12">
        <f t="shared" si="3"/>
        <v>11</v>
      </c>
      <c r="G12" t="s">
        <v>17</v>
      </c>
      <c r="H12" t="s">
        <v>12</v>
      </c>
      <c r="I12" s="4">
        <v>5000</v>
      </c>
      <c r="J12" s="1" t="str">
        <f t="shared" si="1"/>
        <v>50/1</v>
      </c>
      <c r="K12" s="2">
        <f t="shared" si="0"/>
        <v>1.9607843137254902E-2</v>
      </c>
      <c r="L12" s="5">
        <f t="shared" si="2"/>
        <v>1.548063562820406</v>
      </c>
      <c r="M12" t="s">
        <v>64</v>
      </c>
    </row>
    <row r="13" spans="1:15" x14ac:dyDescent="0.25">
      <c r="A13">
        <v>1</v>
      </c>
      <c r="B13" t="s">
        <v>39</v>
      </c>
      <c r="C13" t="s">
        <v>21</v>
      </c>
      <c r="D13" t="s">
        <v>25</v>
      </c>
      <c r="E13">
        <v>1</v>
      </c>
      <c r="F13">
        <f t="shared" si="3"/>
        <v>12</v>
      </c>
      <c r="G13" t="s">
        <v>17</v>
      </c>
      <c r="H13" t="s">
        <v>20</v>
      </c>
      <c r="I13" s="4">
        <v>10000</v>
      </c>
      <c r="J13" s="1" t="str">
        <f t="shared" si="1"/>
        <v>100/1</v>
      </c>
      <c r="K13" s="2">
        <f t="shared" si="0"/>
        <v>9.9009900990099011E-3</v>
      </c>
      <c r="L13" s="5">
        <f t="shared" si="2"/>
        <v>1.548063562820406</v>
      </c>
      <c r="M13" t="s">
        <v>64</v>
      </c>
    </row>
    <row r="14" spans="1:15" x14ac:dyDescent="0.25">
      <c r="A14">
        <v>1</v>
      </c>
      <c r="B14" t="s">
        <v>39</v>
      </c>
      <c r="C14" t="s">
        <v>21</v>
      </c>
      <c r="D14" t="s">
        <v>26</v>
      </c>
      <c r="E14">
        <v>2</v>
      </c>
      <c r="F14">
        <f t="shared" si="3"/>
        <v>13</v>
      </c>
      <c r="G14" t="s">
        <v>45</v>
      </c>
      <c r="H14" t="s">
        <v>2</v>
      </c>
      <c r="I14" s="4">
        <v>-500</v>
      </c>
      <c r="J14" s="1" t="str">
        <f t="shared" si="1"/>
        <v>5/6</v>
      </c>
      <c r="K14" s="2">
        <f t="shared" si="0"/>
        <v>0.83333333333333337</v>
      </c>
      <c r="L14" s="5">
        <f t="shared" si="2"/>
        <v>3.631730769230769</v>
      </c>
      <c r="M14" t="s">
        <v>16</v>
      </c>
    </row>
    <row r="15" spans="1:15" x14ac:dyDescent="0.25">
      <c r="A15">
        <v>1</v>
      </c>
      <c r="B15" t="s">
        <v>39</v>
      </c>
      <c r="C15" t="s">
        <v>21</v>
      </c>
      <c r="D15" t="s">
        <v>26</v>
      </c>
      <c r="E15">
        <v>2</v>
      </c>
      <c r="F15">
        <f t="shared" si="3"/>
        <v>14</v>
      </c>
      <c r="G15" t="s">
        <v>45</v>
      </c>
      <c r="H15" t="s">
        <v>0</v>
      </c>
      <c r="I15" s="4">
        <v>100</v>
      </c>
      <c r="J15" s="1" t="str">
        <f t="shared" si="1"/>
        <v>1/1</v>
      </c>
      <c r="K15" s="2">
        <f t="shared" si="0"/>
        <v>0.5</v>
      </c>
      <c r="L15" s="5">
        <f t="shared" si="2"/>
        <v>3.631730769230769</v>
      </c>
      <c r="M15" t="s">
        <v>64</v>
      </c>
    </row>
    <row r="16" spans="1:15" x14ac:dyDescent="0.25">
      <c r="A16">
        <v>1</v>
      </c>
      <c r="B16" t="s">
        <v>39</v>
      </c>
      <c r="C16" t="s">
        <v>21</v>
      </c>
      <c r="D16" t="s">
        <v>26</v>
      </c>
      <c r="E16">
        <v>2</v>
      </c>
      <c r="F16">
        <f t="shared" si="3"/>
        <v>15</v>
      </c>
      <c r="G16" t="s">
        <v>45</v>
      </c>
      <c r="H16" t="s">
        <v>1</v>
      </c>
      <c r="I16" s="4">
        <v>150</v>
      </c>
      <c r="J16" s="1" t="str">
        <f t="shared" si="1"/>
        <v>3/2</v>
      </c>
      <c r="K16" s="2">
        <f t="shared" si="0"/>
        <v>0.4</v>
      </c>
      <c r="L16" s="5">
        <f t="shared" si="2"/>
        <v>3.631730769230769</v>
      </c>
      <c r="M16" t="s">
        <v>16</v>
      </c>
    </row>
    <row r="17" spans="1:13" x14ac:dyDescent="0.25">
      <c r="A17">
        <v>1</v>
      </c>
      <c r="B17" t="s">
        <v>39</v>
      </c>
      <c r="C17" t="s">
        <v>21</v>
      </c>
      <c r="D17" t="s">
        <v>26</v>
      </c>
      <c r="E17">
        <v>2</v>
      </c>
      <c r="F17">
        <f t="shared" si="3"/>
        <v>16</v>
      </c>
      <c r="G17" t="s">
        <v>45</v>
      </c>
      <c r="H17" t="s">
        <v>3</v>
      </c>
      <c r="I17" s="4">
        <v>150</v>
      </c>
      <c r="J17" s="1" t="str">
        <f t="shared" si="1"/>
        <v>3/2</v>
      </c>
      <c r="K17" s="2">
        <f t="shared" si="0"/>
        <v>0.4</v>
      </c>
      <c r="L17" s="5">
        <f t="shared" si="2"/>
        <v>3.631730769230769</v>
      </c>
      <c r="M17" t="s">
        <v>64</v>
      </c>
    </row>
    <row r="18" spans="1:13" x14ac:dyDescent="0.25">
      <c r="A18">
        <v>1</v>
      </c>
      <c r="B18" t="s">
        <v>39</v>
      </c>
      <c r="C18" t="s">
        <v>21</v>
      </c>
      <c r="D18" t="s">
        <v>26</v>
      </c>
      <c r="E18">
        <v>2</v>
      </c>
      <c r="F18">
        <f t="shared" si="3"/>
        <v>17</v>
      </c>
      <c r="G18" t="s">
        <v>45</v>
      </c>
      <c r="H18" t="s">
        <v>10</v>
      </c>
      <c r="I18" s="4">
        <v>160</v>
      </c>
      <c r="J18" s="1" t="str">
        <f t="shared" si="1"/>
        <v>8/5</v>
      </c>
      <c r="K18" s="2">
        <f t="shared" si="0"/>
        <v>0.38461538461538464</v>
      </c>
      <c r="L18" s="5">
        <f t="shared" si="2"/>
        <v>3.631730769230769</v>
      </c>
      <c r="M18" t="s">
        <v>64</v>
      </c>
    </row>
    <row r="19" spans="1:13" x14ac:dyDescent="0.25">
      <c r="A19">
        <v>1</v>
      </c>
      <c r="B19" t="s">
        <v>39</v>
      </c>
      <c r="C19" t="s">
        <v>21</v>
      </c>
      <c r="D19" t="s">
        <v>26</v>
      </c>
      <c r="E19">
        <v>2</v>
      </c>
      <c r="F19">
        <f t="shared" si="3"/>
        <v>18</v>
      </c>
      <c r="G19" t="s">
        <v>45</v>
      </c>
      <c r="H19" t="s">
        <v>11</v>
      </c>
      <c r="I19" s="4">
        <v>160</v>
      </c>
      <c r="J19" s="1" t="str">
        <f t="shared" si="1"/>
        <v>8/5</v>
      </c>
      <c r="K19" s="2">
        <f t="shared" si="0"/>
        <v>0.38461538461538464</v>
      </c>
      <c r="L19" s="5">
        <f t="shared" si="2"/>
        <v>3.631730769230769</v>
      </c>
      <c r="M19" t="s">
        <v>64</v>
      </c>
    </row>
    <row r="20" spans="1:13" x14ac:dyDescent="0.25">
      <c r="A20">
        <v>1</v>
      </c>
      <c r="B20" t="s">
        <v>39</v>
      </c>
      <c r="C20" t="s">
        <v>21</v>
      </c>
      <c r="D20" t="s">
        <v>26</v>
      </c>
      <c r="E20">
        <v>2</v>
      </c>
      <c r="F20">
        <f t="shared" si="3"/>
        <v>19</v>
      </c>
      <c r="G20" t="s">
        <v>45</v>
      </c>
      <c r="H20" t="s">
        <v>6</v>
      </c>
      <c r="I20" s="4">
        <v>200</v>
      </c>
      <c r="J20" s="1" t="str">
        <f t="shared" si="1"/>
        <v>2/1</v>
      </c>
      <c r="K20" s="2">
        <f t="shared" si="0"/>
        <v>0.33333333333333331</v>
      </c>
      <c r="L20" s="5">
        <f t="shared" si="2"/>
        <v>3.631730769230769</v>
      </c>
      <c r="M20" t="s">
        <v>64</v>
      </c>
    </row>
    <row r="21" spans="1:13" x14ac:dyDescent="0.25">
      <c r="A21">
        <v>1</v>
      </c>
      <c r="B21" t="s">
        <v>39</v>
      </c>
      <c r="C21" t="s">
        <v>21</v>
      </c>
      <c r="D21" t="s">
        <v>26</v>
      </c>
      <c r="E21">
        <v>2</v>
      </c>
      <c r="F21">
        <f t="shared" si="3"/>
        <v>20</v>
      </c>
      <c r="G21" t="s">
        <v>45</v>
      </c>
      <c r="H21" t="s">
        <v>4</v>
      </c>
      <c r="I21" s="4">
        <v>500</v>
      </c>
      <c r="J21" s="1" t="str">
        <f t="shared" si="1"/>
        <v>5/1</v>
      </c>
      <c r="K21" s="2">
        <f t="shared" si="0"/>
        <v>0.16666666666666666</v>
      </c>
      <c r="L21" s="5">
        <f t="shared" si="2"/>
        <v>3.631730769230769</v>
      </c>
      <c r="M21" t="s">
        <v>64</v>
      </c>
    </row>
    <row r="22" spans="1:13" x14ac:dyDescent="0.25">
      <c r="A22">
        <v>1</v>
      </c>
      <c r="B22" t="s">
        <v>39</v>
      </c>
      <c r="C22" t="s">
        <v>21</v>
      </c>
      <c r="D22" t="s">
        <v>26</v>
      </c>
      <c r="E22">
        <v>2</v>
      </c>
      <c r="F22">
        <f t="shared" si="3"/>
        <v>21</v>
      </c>
      <c r="G22" t="s">
        <v>45</v>
      </c>
      <c r="H22" t="s">
        <v>12</v>
      </c>
      <c r="I22" s="4">
        <v>500</v>
      </c>
      <c r="J22" s="1" t="str">
        <f t="shared" si="1"/>
        <v>5/1</v>
      </c>
      <c r="K22" s="2">
        <f t="shared" si="0"/>
        <v>0.16666666666666666</v>
      </c>
      <c r="L22" s="5">
        <f t="shared" si="2"/>
        <v>3.631730769230769</v>
      </c>
      <c r="M22" t="s">
        <v>64</v>
      </c>
    </row>
    <row r="23" spans="1:13" x14ac:dyDescent="0.25">
      <c r="A23">
        <v>1</v>
      </c>
      <c r="B23" t="s">
        <v>39</v>
      </c>
      <c r="C23" t="s">
        <v>21</v>
      </c>
      <c r="D23" t="s">
        <v>26</v>
      </c>
      <c r="E23">
        <v>2</v>
      </c>
      <c r="F23">
        <f t="shared" si="3"/>
        <v>22</v>
      </c>
      <c r="G23" t="s">
        <v>45</v>
      </c>
      <c r="H23" t="s">
        <v>20</v>
      </c>
      <c r="I23" s="4">
        <v>1500</v>
      </c>
      <c r="J23" s="1" t="str">
        <f t="shared" si="1"/>
        <v>15/1</v>
      </c>
      <c r="K23" s="2">
        <f t="shared" si="0"/>
        <v>6.25E-2</v>
      </c>
      <c r="L23" s="5">
        <f t="shared" si="2"/>
        <v>3.631730769230769</v>
      </c>
      <c r="M23" t="s">
        <v>64</v>
      </c>
    </row>
    <row r="24" spans="1:13" x14ac:dyDescent="0.25">
      <c r="A24">
        <v>1</v>
      </c>
      <c r="B24" t="s">
        <v>39</v>
      </c>
      <c r="C24" t="s">
        <v>13</v>
      </c>
      <c r="D24" t="s">
        <v>25</v>
      </c>
      <c r="E24">
        <v>3</v>
      </c>
      <c r="F24">
        <f t="shared" si="3"/>
        <v>23</v>
      </c>
      <c r="G24" t="s">
        <v>44</v>
      </c>
      <c r="H24" t="s">
        <v>7</v>
      </c>
      <c r="I24" s="4">
        <v>110</v>
      </c>
      <c r="J24" s="1" t="str">
        <f t="shared" si="1"/>
        <v>11/10</v>
      </c>
      <c r="K24" s="2">
        <f t="shared" ref="K24:K35" si="4">_xlfn.LET(
    _xlpm.o, VALUE(I24),
    _xlpm.prob, IF(_xlpm.o&gt;0, 100/(_xlpm.o+100), ABS(_xlpm.o)/(ABS(_xlpm.o)+100)),
    _xlpm.prob
)</f>
        <v>0.47619047619047616</v>
      </c>
      <c r="L24" s="5">
        <f t="shared" si="2"/>
        <v>1.6087778485346915</v>
      </c>
      <c r="M24" t="s">
        <v>64</v>
      </c>
    </row>
    <row r="25" spans="1:13" x14ac:dyDescent="0.25">
      <c r="A25">
        <v>1</v>
      </c>
      <c r="B25" t="s">
        <v>39</v>
      </c>
      <c r="C25" t="s">
        <v>13</v>
      </c>
      <c r="D25" t="s">
        <v>25</v>
      </c>
      <c r="E25">
        <v>3</v>
      </c>
      <c r="F25">
        <f t="shared" si="3"/>
        <v>24</v>
      </c>
      <c r="G25" t="s">
        <v>44</v>
      </c>
      <c r="H25" t="s">
        <v>8</v>
      </c>
      <c r="I25" s="4">
        <v>200</v>
      </c>
      <c r="J25" s="1" t="str">
        <f t="shared" si="1"/>
        <v>2/1</v>
      </c>
      <c r="K25" s="2">
        <f t="shared" si="4"/>
        <v>0.33333333333333331</v>
      </c>
      <c r="L25" s="5">
        <f t="shared" si="2"/>
        <v>1.6087778485346915</v>
      </c>
      <c r="M25" t="s">
        <v>16</v>
      </c>
    </row>
    <row r="26" spans="1:13" x14ac:dyDescent="0.25">
      <c r="A26">
        <v>1</v>
      </c>
      <c r="B26" t="s">
        <v>39</v>
      </c>
      <c r="C26" t="s">
        <v>13</v>
      </c>
      <c r="D26" t="s">
        <v>25</v>
      </c>
      <c r="E26">
        <v>3</v>
      </c>
      <c r="F26">
        <f t="shared" si="3"/>
        <v>25</v>
      </c>
      <c r="G26" t="s">
        <v>44</v>
      </c>
      <c r="H26" t="s">
        <v>2</v>
      </c>
      <c r="I26" s="4">
        <v>400</v>
      </c>
      <c r="J26" s="1" t="str">
        <f t="shared" si="1"/>
        <v>4/1</v>
      </c>
      <c r="K26" s="2">
        <f t="shared" si="4"/>
        <v>0.2</v>
      </c>
      <c r="L26" s="5">
        <f t="shared" si="2"/>
        <v>1.6087778485346915</v>
      </c>
      <c r="M26" t="s">
        <v>64</v>
      </c>
    </row>
    <row r="27" spans="1:13" x14ac:dyDescent="0.25">
      <c r="A27">
        <v>1</v>
      </c>
      <c r="B27" t="s">
        <v>39</v>
      </c>
      <c r="C27" t="s">
        <v>13</v>
      </c>
      <c r="D27" t="s">
        <v>25</v>
      </c>
      <c r="E27">
        <v>3</v>
      </c>
      <c r="F27">
        <f t="shared" si="3"/>
        <v>26</v>
      </c>
      <c r="G27" t="s">
        <v>44</v>
      </c>
      <c r="H27" t="s">
        <v>0</v>
      </c>
      <c r="I27" s="4">
        <v>600</v>
      </c>
      <c r="J27" s="1" t="str">
        <f t="shared" si="1"/>
        <v>6/1</v>
      </c>
      <c r="K27" s="2">
        <f t="shared" si="4"/>
        <v>0.14285714285714285</v>
      </c>
      <c r="L27" s="5">
        <f t="shared" si="2"/>
        <v>1.6087778485346915</v>
      </c>
      <c r="M27" t="s">
        <v>64</v>
      </c>
    </row>
    <row r="28" spans="1:13" x14ac:dyDescent="0.25">
      <c r="A28">
        <v>1</v>
      </c>
      <c r="B28" t="s">
        <v>39</v>
      </c>
      <c r="C28" t="s">
        <v>13</v>
      </c>
      <c r="D28" t="s">
        <v>25</v>
      </c>
      <c r="E28">
        <v>3</v>
      </c>
      <c r="F28">
        <f t="shared" si="3"/>
        <v>27</v>
      </c>
      <c r="G28" t="s">
        <v>44</v>
      </c>
      <c r="H28" t="s">
        <v>1</v>
      </c>
      <c r="I28" s="4">
        <v>600</v>
      </c>
      <c r="J28" s="1" t="str">
        <f t="shared" si="1"/>
        <v>6/1</v>
      </c>
      <c r="K28" s="2">
        <f t="shared" si="4"/>
        <v>0.14285714285714285</v>
      </c>
      <c r="L28" s="5">
        <f t="shared" si="2"/>
        <v>1.6087778485346915</v>
      </c>
      <c r="M28" t="s">
        <v>64</v>
      </c>
    </row>
    <row r="29" spans="1:13" x14ac:dyDescent="0.25">
      <c r="A29">
        <v>1</v>
      </c>
      <c r="B29" t="s">
        <v>39</v>
      </c>
      <c r="C29" t="s">
        <v>13</v>
      </c>
      <c r="D29" t="s">
        <v>25</v>
      </c>
      <c r="E29">
        <v>3</v>
      </c>
      <c r="F29">
        <f t="shared" si="3"/>
        <v>28</v>
      </c>
      <c r="G29" t="s">
        <v>44</v>
      </c>
      <c r="H29" t="s">
        <v>3</v>
      </c>
      <c r="I29" s="4">
        <v>1200</v>
      </c>
      <c r="J29" s="1" t="str">
        <f t="shared" si="1"/>
        <v>12/1</v>
      </c>
      <c r="K29" s="2">
        <f t="shared" si="4"/>
        <v>7.6923076923076927E-2</v>
      </c>
      <c r="L29" s="5">
        <f t="shared" si="2"/>
        <v>1.6087778485346915</v>
      </c>
      <c r="M29" t="s">
        <v>64</v>
      </c>
    </row>
    <row r="30" spans="1:13" x14ac:dyDescent="0.25">
      <c r="A30">
        <v>1</v>
      </c>
      <c r="B30" t="s">
        <v>39</v>
      </c>
      <c r="C30" t="s">
        <v>13</v>
      </c>
      <c r="D30" t="s">
        <v>25</v>
      </c>
      <c r="E30">
        <v>3</v>
      </c>
      <c r="F30">
        <f t="shared" si="3"/>
        <v>29</v>
      </c>
      <c r="G30" t="s">
        <v>44</v>
      </c>
      <c r="H30" t="s">
        <v>6</v>
      </c>
      <c r="I30" s="4">
        <v>1500</v>
      </c>
      <c r="J30" s="1" t="str">
        <f t="shared" si="1"/>
        <v>15/1</v>
      </c>
      <c r="K30" s="2">
        <f t="shared" si="4"/>
        <v>6.25E-2</v>
      </c>
      <c r="L30" s="5">
        <f t="shared" si="2"/>
        <v>1.6087778485346915</v>
      </c>
      <c r="M30" t="s">
        <v>64</v>
      </c>
    </row>
    <row r="31" spans="1:13" x14ac:dyDescent="0.25">
      <c r="A31">
        <v>1</v>
      </c>
      <c r="B31" t="s">
        <v>39</v>
      </c>
      <c r="C31" t="s">
        <v>13</v>
      </c>
      <c r="D31" t="s">
        <v>25</v>
      </c>
      <c r="E31">
        <v>3</v>
      </c>
      <c r="F31">
        <f t="shared" si="3"/>
        <v>30</v>
      </c>
      <c r="G31" t="s">
        <v>44</v>
      </c>
      <c r="H31" t="s">
        <v>10</v>
      </c>
      <c r="I31" s="4">
        <v>1500</v>
      </c>
      <c r="J31" s="1" t="str">
        <f t="shared" si="1"/>
        <v>15/1</v>
      </c>
      <c r="K31" s="2">
        <f t="shared" si="4"/>
        <v>6.25E-2</v>
      </c>
      <c r="L31" s="5">
        <f t="shared" si="2"/>
        <v>1.6087778485346915</v>
      </c>
      <c r="M31" t="s">
        <v>64</v>
      </c>
    </row>
    <row r="32" spans="1:13" x14ac:dyDescent="0.25">
      <c r="A32">
        <v>1</v>
      </c>
      <c r="B32" t="s">
        <v>39</v>
      </c>
      <c r="C32" t="s">
        <v>13</v>
      </c>
      <c r="D32" t="s">
        <v>25</v>
      </c>
      <c r="E32">
        <v>3</v>
      </c>
      <c r="F32">
        <f t="shared" si="3"/>
        <v>31</v>
      </c>
      <c r="G32" t="s">
        <v>44</v>
      </c>
      <c r="H32" t="s">
        <v>11</v>
      </c>
      <c r="I32" s="4">
        <v>1500</v>
      </c>
      <c r="J32" s="1" t="str">
        <f t="shared" si="1"/>
        <v>15/1</v>
      </c>
      <c r="K32" s="2">
        <f t="shared" si="4"/>
        <v>6.25E-2</v>
      </c>
      <c r="L32" s="5">
        <f t="shared" si="2"/>
        <v>1.6087778485346915</v>
      </c>
      <c r="M32" t="s">
        <v>64</v>
      </c>
    </row>
    <row r="33" spans="1:15" x14ac:dyDescent="0.25">
      <c r="A33">
        <v>1</v>
      </c>
      <c r="B33" t="s">
        <v>39</v>
      </c>
      <c r="C33" t="s">
        <v>13</v>
      </c>
      <c r="D33" t="s">
        <v>25</v>
      </c>
      <c r="E33">
        <v>3</v>
      </c>
      <c r="F33">
        <f t="shared" si="3"/>
        <v>32</v>
      </c>
      <c r="G33" t="s">
        <v>44</v>
      </c>
      <c r="H33" t="s">
        <v>4</v>
      </c>
      <c r="I33" s="4">
        <v>5000</v>
      </c>
      <c r="J33" s="1" t="str">
        <f t="shared" si="1"/>
        <v>50/1</v>
      </c>
      <c r="K33" s="2">
        <f t="shared" si="4"/>
        <v>1.9607843137254902E-2</v>
      </c>
      <c r="L33" s="5">
        <f t="shared" si="2"/>
        <v>1.6087778485346915</v>
      </c>
      <c r="M33" t="s">
        <v>64</v>
      </c>
    </row>
    <row r="34" spans="1:15" x14ac:dyDescent="0.25">
      <c r="A34">
        <v>1</v>
      </c>
      <c r="B34" t="s">
        <v>39</v>
      </c>
      <c r="C34" t="s">
        <v>13</v>
      </c>
      <c r="D34" t="s">
        <v>25</v>
      </c>
      <c r="E34">
        <v>3</v>
      </c>
      <c r="F34">
        <f t="shared" si="3"/>
        <v>33</v>
      </c>
      <c r="G34" t="s">
        <v>44</v>
      </c>
      <c r="H34" t="s">
        <v>12</v>
      </c>
      <c r="I34" s="4">
        <v>5000</v>
      </c>
      <c r="J34" s="1" t="str">
        <f t="shared" si="1"/>
        <v>50/1</v>
      </c>
      <c r="K34" s="2">
        <f t="shared" si="4"/>
        <v>1.9607843137254902E-2</v>
      </c>
      <c r="L34" s="5">
        <f t="shared" si="2"/>
        <v>1.6087778485346915</v>
      </c>
      <c r="M34" t="s">
        <v>64</v>
      </c>
    </row>
    <row r="35" spans="1:15" x14ac:dyDescent="0.25">
      <c r="A35">
        <v>1</v>
      </c>
      <c r="B35" t="s">
        <v>39</v>
      </c>
      <c r="C35" t="s">
        <v>13</v>
      </c>
      <c r="D35" t="s">
        <v>25</v>
      </c>
      <c r="E35">
        <v>3</v>
      </c>
      <c r="F35">
        <f t="shared" si="3"/>
        <v>34</v>
      </c>
      <c r="G35" t="s">
        <v>44</v>
      </c>
      <c r="H35" t="s">
        <v>20</v>
      </c>
      <c r="I35" s="4">
        <v>10000</v>
      </c>
      <c r="J35" s="1" t="str">
        <f t="shared" si="1"/>
        <v>100/1</v>
      </c>
      <c r="K35" s="2">
        <f t="shared" si="4"/>
        <v>9.9009900990099011E-3</v>
      </c>
      <c r="L35" s="5">
        <f t="shared" si="2"/>
        <v>1.6087778485346915</v>
      </c>
      <c r="M35" t="s">
        <v>64</v>
      </c>
    </row>
    <row r="36" spans="1:15" x14ac:dyDescent="0.25">
      <c r="A36">
        <v>1</v>
      </c>
      <c r="B36" t="s">
        <v>39</v>
      </c>
      <c r="C36" t="s">
        <v>13</v>
      </c>
      <c r="D36" t="s">
        <v>28</v>
      </c>
      <c r="E36">
        <v>4</v>
      </c>
      <c r="F36">
        <f t="shared" si="3"/>
        <v>35</v>
      </c>
      <c r="G36" t="s">
        <v>43</v>
      </c>
      <c r="H36" t="s">
        <v>7</v>
      </c>
      <c r="I36" s="4">
        <v>-130</v>
      </c>
      <c r="J36" s="1" t="str">
        <f t="shared" si="1"/>
        <v>13/23</v>
      </c>
      <c r="K36" s="2">
        <f t="shared" si="0"/>
        <v>0.56521739130434778</v>
      </c>
      <c r="L36" s="5">
        <f t="shared" si="2"/>
        <v>1</v>
      </c>
      <c r="M36" t="s">
        <v>64</v>
      </c>
    </row>
    <row r="37" spans="1:15" x14ac:dyDescent="0.25">
      <c r="A37">
        <v>1</v>
      </c>
      <c r="B37" t="s">
        <v>39</v>
      </c>
      <c r="C37" t="s">
        <v>13</v>
      </c>
      <c r="D37" t="s">
        <v>28</v>
      </c>
      <c r="E37">
        <v>4</v>
      </c>
      <c r="F37">
        <f t="shared" si="3"/>
        <v>36</v>
      </c>
      <c r="G37" t="s">
        <v>43</v>
      </c>
      <c r="H37" t="s">
        <v>8</v>
      </c>
      <c r="I37" s="4">
        <v>130</v>
      </c>
      <c r="J37" s="1" t="str">
        <f t="shared" si="1"/>
        <v>13/10</v>
      </c>
      <c r="K37" s="2">
        <f t="shared" si="0"/>
        <v>0.43478260869565216</v>
      </c>
      <c r="L37" s="5">
        <f t="shared" si="2"/>
        <v>1</v>
      </c>
      <c r="M37" t="s">
        <v>16</v>
      </c>
    </row>
    <row r="38" spans="1:15" x14ac:dyDescent="0.25">
      <c r="A38">
        <v>1</v>
      </c>
      <c r="B38" t="s">
        <v>39</v>
      </c>
      <c r="C38" t="s">
        <v>13</v>
      </c>
      <c r="D38" t="s">
        <v>29</v>
      </c>
      <c r="E38">
        <v>5</v>
      </c>
      <c r="F38">
        <f t="shared" si="3"/>
        <v>37</v>
      </c>
      <c r="G38" t="s">
        <v>46</v>
      </c>
      <c r="H38" t="s">
        <v>2</v>
      </c>
      <c r="I38" s="4">
        <v>150</v>
      </c>
      <c r="J38" s="1" t="str">
        <f t="shared" si="1"/>
        <v>3/2</v>
      </c>
      <c r="K38" s="2">
        <f t="shared" si="0"/>
        <v>0.4</v>
      </c>
      <c r="L38" s="5">
        <f t="shared" si="2"/>
        <v>1.2523809523809526</v>
      </c>
      <c r="M38" t="s">
        <v>64</v>
      </c>
      <c r="N38" t="e">
        <f xml:space="preserve"> _xlfn.XLOOKUP(IFERROR(_xlfn.TEXTBEFORE(H38," ("), H38),#REF!,#REF!)</f>
        <v>#REF!</v>
      </c>
    </row>
    <row r="39" spans="1:15" x14ac:dyDescent="0.25">
      <c r="A39">
        <v>1</v>
      </c>
      <c r="B39" t="s">
        <v>39</v>
      </c>
      <c r="C39" t="s">
        <v>13</v>
      </c>
      <c r="D39" t="s">
        <v>29</v>
      </c>
      <c r="E39">
        <v>5</v>
      </c>
      <c r="F39">
        <f t="shared" si="3"/>
        <v>38</v>
      </c>
      <c r="G39" t="s">
        <v>46</v>
      </c>
      <c r="H39" t="s">
        <v>0</v>
      </c>
      <c r="I39" s="4">
        <v>250</v>
      </c>
      <c r="J39" s="1" t="str">
        <f t="shared" si="1"/>
        <v>5/2</v>
      </c>
      <c r="K39" s="2">
        <f t="shared" si="0"/>
        <v>0.2857142857142857</v>
      </c>
      <c r="L39" s="5">
        <f t="shared" si="2"/>
        <v>1.2523809523809526</v>
      </c>
      <c r="M39" t="s">
        <v>64</v>
      </c>
      <c r="N39" t="e">
        <f xml:space="preserve"> _xlfn.XLOOKUP(IFERROR(_xlfn.TEXTBEFORE(H39," ("), H39),#REF!,#REF!)</f>
        <v>#REF!</v>
      </c>
    </row>
    <row r="40" spans="1:15" x14ac:dyDescent="0.25">
      <c r="A40">
        <v>1</v>
      </c>
      <c r="B40" t="s">
        <v>39</v>
      </c>
      <c r="C40" t="s">
        <v>13</v>
      </c>
      <c r="D40" t="s">
        <v>29</v>
      </c>
      <c r="E40">
        <v>5</v>
      </c>
      <c r="F40">
        <f t="shared" si="3"/>
        <v>39</v>
      </c>
      <c r="G40" t="s">
        <v>46</v>
      </c>
      <c r="H40" t="s">
        <v>1</v>
      </c>
      <c r="I40" s="4">
        <v>150</v>
      </c>
      <c r="J40" s="1" t="str">
        <f t="shared" si="1"/>
        <v>3/2</v>
      </c>
      <c r="K40" s="2">
        <f t="shared" si="0"/>
        <v>0.4</v>
      </c>
      <c r="L40" s="5">
        <f t="shared" si="2"/>
        <v>1.2523809523809526</v>
      </c>
      <c r="M40" t="s">
        <v>16</v>
      </c>
      <c r="N40" t="e">
        <f xml:space="preserve"> _xlfn.XLOOKUP(IFERROR(_xlfn.TEXTBEFORE(H40," ("), H40),#REF!,#REF!)</f>
        <v>#REF!</v>
      </c>
    </row>
    <row r="41" spans="1:15" x14ac:dyDescent="0.25">
      <c r="A41">
        <v>1</v>
      </c>
      <c r="B41" t="s">
        <v>39</v>
      </c>
      <c r="C41" t="s">
        <v>13</v>
      </c>
      <c r="D41" t="s">
        <v>29</v>
      </c>
      <c r="E41">
        <v>5</v>
      </c>
      <c r="F41">
        <f t="shared" si="3"/>
        <v>40</v>
      </c>
      <c r="G41" t="s">
        <v>46</v>
      </c>
      <c r="H41" t="s">
        <v>3</v>
      </c>
      <c r="I41" s="4">
        <v>500</v>
      </c>
      <c r="J41" s="1" t="str">
        <f t="shared" si="1"/>
        <v>5/1</v>
      </c>
      <c r="K41" s="2">
        <f t="shared" si="0"/>
        <v>0.16666666666666666</v>
      </c>
      <c r="L41" s="5">
        <f t="shared" si="2"/>
        <v>1.2523809523809526</v>
      </c>
      <c r="M41" t="s">
        <v>64</v>
      </c>
      <c r="N41" t="e">
        <f xml:space="preserve"> _xlfn.XLOOKUP(IFERROR(_xlfn.TEXTBEFORE(H41," ("), H41),#REF!,#REF!)</f>
        <v>#REF!</v>
      </c>
    </row>
    <row r="42" spans="1:15" x14ac:dyDescent="0.25">
      <c r="A42">
        <v>1</v>
      </c>
      <c r="B42" t="s">
        <v>39</v>
      </c>
      <c r="C42" t="s">
        <v>13</v>
      </c>
      <c r="D42" t="s">
        <v>28</v>
      </c>
      <c r="E42">
        <v>6</v>
      </c>
      <c r="F42">
        <f t="shared" si="3"/>
        <v>41</v>
      </c>
      <c r="G42" t="s">
        <v>43</v>
      </c>
      <c r="H42" t="s">
        <v>10</v>
      </c>
      <c r="I42" s="4">
        <v>100</v>
      </c>
      <c r="J42" s="1" t="str">
        <f t="shared" si="1"/>
        <v>1/1</v>
      </c>
      <c r="K42" s="2">
        <f t="shared" si="0"/>
        <v>0.5</v>
      </c>
      <c r="L42" s="5">
        <f t="shared" si="2"/>
        <v>1</v>
      </c>
      <c r="M42" t="s">
        <v>66</v>
      </c>
      <c r="N42" t="e">
        <f xml:space="preserve"> _xlfn.XLOOKUP(IFERROR(_xlfn.TEXTBEFORE(H42," ("), H42),#REF!,#REF!)</f>
        <v>#REF!</v>
      </c>
    </row>
    <row r="43" spans="1:15" x14ac:dyDescent="0.25">
      <c r="A43">
        <v>1</v>
      </c>
      <c r="B43" t="s">
        <v>39</v>
      </c>
      <c r="C43" t="s">
        <v>13</v>
      </c>
      <c r="D43" t="s">
        <v>28</v>
      </c>
      <c r="E43">
        <v>6</v>
      </c>
      <c r="F43">
        <f t="shared" si="3"/>
        <v>42</v>
      </c>
      <c r="G43" t="s">
        <v>43</v>
      </c>
      <c r="H43" t="s">
        <v>11</v>
      </c>
      <c r="I43" s="4">
        <v>100</v>
      </c>
      <c r="J43" s="1" t="str">
        <f t="shared" si="1"/>
        <v>1/1</v>
      </c>
      <c r="K43" s="2">
        <f t="shared" si="0"/>
        <v>0.5</v>
      </c>
      <c r="L43" s="5">
        <f t="shared" si="2"/>
        <v>1</v>
      </c>
      <c r="M43" t="s">
        <v>66</v>
      </c>
      <c r="N43" t="e">
        <f xml:space="preserve"> _xlfn.XLOOKUP(IFERROR(_xlfn.TEXTBEFORE(H43," ("), H43),#REF!,#REF!)</f>
        <v>#REF!</v>
      </c>
    </row>
    <row r="44" spans="1:15" x14ac:dyDescent="0.25">
      <c r="A44">
        <v>1</v>
      </c>
      <c r="B44" t="s">
        <v>39</v>
      </c>
      <c r="C44" t="s">
        <v>13</v>
      </c>
      <c r="D44" t="s">
        <v>29</v>
      </c>
      <c r="E44">
        <v>7</v>
      </c>
      <c r="F44">
        <f t="shared" si="3"/>
        <v>43</v>
      </c>
      <c r="G44" t="s">
        <v>46</v>
      </c>
      <c r="H44" t="s">
        <v>47</v>
      </c>
      <c r="I44" s="4">
        <v>150</v>
      </c>
      <c r="J44" s="1" t="str">
        <f t="shared" si="1"/>
        <v>3/2</v>
      </c>
      <c r="K44" s="2">
        <f t="shared" ref="K44" si="5">_xlfn.LET(
    _xlpm.o, VALUE(I44),
    _xlpm.prob, IF(_xlpm.o&gt;0, 100/(_xlpm.o+100), ABS(_xlpm.o)/(ABS(_xlpm.o)+100)),
    _xlpm.prob
)</f>
        <v>0.4</v>
      </c>
      <c r="L44" s="5">
        <f t="shared" si="2"/>
        <v>1.2000000000000002</v>
      </c>
      <c r="M44" t="s">
        <v>16</v>
      </c>
      <c r="N44" t="e">
        <f xml:space="preserve"> _xlfn.XLOOKUP(IFERROR(_xlfn.TEXTBEFORE(H44," ("), H44),#REF!,#REF!)</f>
        <v>#REF!</v>
      </c>
      <c r="O44" t="e">
        <f>N44-0</f>
        <v>#REF!</v>
      </c>
    </row>
    <row r="45" spans="1:15" x14ac:dyDescent="0.25">
      <c r="A45">
        <v>1</v>
      </c>
      <c r="B45" t="s">
        <v>39</v>
      </c>
      <c r="C45" t="s">
        <v>13</v>
      </c>
      <c r="D45" t="s">
        <v>29</v>
      </c>
      <c r="E45">
        <v>7</v>
      </c>
      <c r="F45">
        <f t="shared" si="3"/>
        <v>44</v>
      </c>
      <c r="G45" t="s">
        <v>46</v>
      </c>
      <c r="H45" t="s">
        <v>48</v>
      </c>
      <c r="I45" s="4">
        <v>150</v>
      </c>
      <c r="J45" s="1" t="str">
        <f t="shared" si="1"/>
        <v>3/2</v>
      </c>
      <c r="K45" s="2">
        <f t="shared" ref="K45:K46" si="6">_xlfn.LET(
    _xlpm.o, VALUE(I45),
    _xlpm.prob, IF(_xlpm.o&gt;0, 100/(_xlpm.o+100), ABS(_xlpm.o)/(ABS(_xlpm.o)+100)),
    _xlpm.prob
)</f>
        <v>0.4</v>
      </c>
      <c r="L45" s="5">
        <f t="shared" si="2"/>
        <v>1.2000000000000002</v>
      </c>
      <c r="M45" t="s">
        <v>64</v>
      </c>
      <c r="N45" t="e">
        <f xml:space="preserve"> _xlfn.XLOOKUP(IFERROR(_xlfn.TEXTBEFORE(H45," ("), H45),#REF!,#REF!)</f>
        <v>#REF!</v>
      </c>
      <c r="O45" t="e">
        <f>N45-5</f>
        <v>#REF!</v>
      </c>
    </row>
    <row r="46" spans="1:15" x14ac:dyDescent="0.25">
      <c r="A46">
        <v>1</v>
      </c>
      <c r="B46" t="s">
        <v>39</v>
      </c>
      <c r="C46" t="s">
        <v>13</v>
      </c>
      <c r="D46" t="s">
        <v>29</v>
      </c>
      <c r="E46">
        <v>7</v>
      </c>
      <c r="F46">
        <f t="shared" si="3"/>
        <v>45</v>
      </c>
      <c r="G46" t="s">
        <v>46</v>
      </c>
      <c r="H46" t="s">
        <v>49</v>
      </c>
      <c r="I46" s="4">
        <v>150</v>
      </c>
      <c r="J46" s="1" t="str">
        <f t="shared" si="1"/>
        <v>3/2</v>
      </c>
      <c r="K46" s="2">
        <f t="shared" si="6"/>
        <v>0.4</v>
      </c>
      <c r="L46" s="5">
        <f t="shared" si="2"/>
        <v>1.2000000000000002</v>
      </c>
      <c r="M46" t="s">
        <v>16</v>
      </c>
      <c r="N46" t="e">
        <f xml:space="preserve"> _xlfn.XLOOKUP(IFERROR(_xlfn.TEXTBEFORE(H46," ("), H46),#REF!,#REF!)</f>
        <v>#REF!</v>
      </c>
      <c r="O46" t="e">
        <f>N46-10</f>
        <v>#REF!</v>
      </c>
    </row>
    <row r="47" spans="1:15" x14ac:dyDescent="0.25">
      <c r="A47">
        <v>1</v>
      </c>
      <c r="B47" t="s">
        <v>39</v>
      </c>
      <c r="C47" t="s">
        <v>13</v>
      </c>
      <c r="D47" t="s">
        <v>28</v>
      </c>
      <c r="E47">
        <v>8</v>
      </c>
      <c r="F47">
        <f t="shared" si="3"/>
        <v>46</v>
      </c>
      <c r="G47" t="s">
        <v>43</v>
      </c>
      <c r="H47" t="s">
        <v>52</v>
      </c>
      <c r="I47" s="4">
        <v>100</v>
      </c>
      <c r="J47" s="1" t="str">
        <f t="shared" si="1"/>
        <v>1/1</v>
      </c>
      <c r="K47" s="2">
        <f t="shared" ref="K47:K48" si="7">_xlfn.LET(
    _xlpm.o, VALUE(I47),
    _xlpm.prob, IF(_xlpm.o&gt;0, 100/(_xlpm.o+100), ABS(_xlpm.o)/(ABS(_xlpm.o)+100)),
    _xlpm.prob
)</f>
        <v>0.5</v>
      </c>
      <c r="L47" s="5">
        <f t="shared" si="2"/>
        <v>1</v>
      </c>
      <c r="M47" t="s">
        <v>16</v>
      </c>
      <c r="N47" t="e">
        <f xml:space="preserve"> _xlfn.XLOOKUP(IFERROR(_xlfn.TEXTBEFORE(H47," ("), H47),#REF!,#REF!)</f>
        <v>#REF!</v>
      </c>
      <c r="O47" t="e">
        <f>N47-0</f>
        <v>#REF!</v>
      </c>
    </row>
    <row r="48" spans="1:15" x14ac:dyDescent="0.25">
      <c r="A48">
        <v>1</v>
      </c>
      <c r="B48" t="s">
        <v>39</v>
      </c>
      <c r="C48" t="s">
        <v>13</v>
      </c>
      <c r="D48" t="s">
        <v>28</v>
      </c>
      <c r="E48">
        <v>8</v>
      </c>
      <c r="F48">
        <f t="shared" si="3"/>
        <v>47</v>
      </c>
      <c r="G48" t="s">
        <v>43</v>
      </c>
      <c r="H48" t="s">
        <v>53</v>
      </c>
      <c r="I48" s="4">
        <v>100</v>
      </c>
      <c r="J48" s="1" t="str">
        <f t="shared" si="1"/>
        <v>1/1</v>
      </c>
      <c r="K48" s="2">
        <f t="shared" si="7"/>
        <v>0.5</v>
      </c>
      <c r="L48" s="5">
        <f t="shared" si="2"/>
        <v>1</v>
      </c>
      <c r="M48" t="s">
        <v>64</v>
      </c>
      <c r="N48" t="e">
        <f xml:space="preserve"> _xlfn.XLOOKUP(IFERROR(_xlfn.TEXTBEFORE(H48," ("), H48),#REF!,#REF!)</f>
        <v>#REF!</v>
      </c>
      <c r="O48" t="e">
        <f>N48-10</f>
        <v>#REF!</v>
      </c>
    </row>
    <row r="49" spans="1:15" ht="30" x14ac:dyDescent="0.25">
      <c r="A49">
        <v>1</v>
      </c>
      <c r="B49" t="s">
        <v>39</v>
      </c>
      <c r="C49" t="s">
        <v>13</v>
      </c>
      <c r="D49" t="s">
        <v>31</v>
      </c>
      <c r="E49">
        <v>9</v>
      </c>
      <c r="F49">
        <f t="shared" si="3"/>
        <v>48</v>
      </c>
      <c r="G49" s="3" t="s">
        <v>57</v>
      </c>
      <c r="H49" t="s">
        <v>18</v>
      </c>
      <c r="I49" s="4">
        <v>200</v>
      </c>
      <c r="J49" s="1" t="str">
        <f t="shared" si="1"/>
        <v>2/1</v>
      </c>
      <c r="K49" s="2">
        <f t="shared" ref="K49" si="8">_xlfn.LET(
    _xlpm.o, VALUE(I49),
    _xlpm.prob, IF(_xlpm.o&gt;0, 100/(_xlpm.o+100), ABS(_xlpm.o)/(ABS(_xlpm.o)+100)),
    _xlpm.prob
)</f>
        <v>0.33333333333333331</v>
      </c>
      <c r="L49" s="5">
        <f t="shared" si="2"/>
        <v>1</v>
      </c>
      <c r="M49" t="s">
        <v>64</v>
      </c>
      <c r="N49" t="e">
        <f>MIN(#REF!)</f>
        <v>#REF!</v>
      </c>
      <c r="O49" t="e">
        <f>MAX(#REF!,#REF!)</f>
        <v>#REF!</v>
      </c>
    </row>
    <row r="50" spans="1:15" ht="30" x14ac:dyDescent="0.25">
      <c r="A50">
        <v>1</v>
      </c>
      <c r="B50" t="s">
        <v>39</v>
      </c>
      <c r="C50" t="s">
        <v>13</v>
      </c>
      <c r="D50" t="s">
        <v>31</v>
      </c>
      <c r="E50">
        <v>9</v>
      </c>
      <c r="F50">
        <f t="shared" si="3"/>
        <v>49</v>
      </c>
      <c r="G50" s="3" t="s">
        <v>57</v>
      </c>
      <c r="H50" t="s">
        <v>19</v>
      </c>
      <c r="I50" s="4">
        <v>-200</v>
      </c>
      <c r="J50" s="1" t="str">
        <f t="shared" si="1"/>
        <v>2/3</v>
      </c>
      <c r="K50" s="2">
        <f t="shared" ref="K50" si="9">_xlfn.LET(
    _xlpm.o, VALUE(I50),
    _xlpm.prob, IF(_xlpm.o&gt;0, 100/(_xlpm.o+100), ABS(_xlpm.o)/(ABS(_xlpm.o)+100)),
    _xlpm.prob
)</f>
        <v>0.66666666666666663</v>
      </c>
      <c r="L50" s="5">
        <f t="shared" si="2"/>
        <v>1</v>
      </c>
      <c r="M50" t="s">
        <v>16</v>
      </c>
      <c r="N50" t="e">
        <f>MIN(#REF!)</f>
        <v>#REF!</v>
      </c>
      <c r="O50" t="e">
        <f>MAX(#REF!,#REF!)</f>
        <v>#REF!</v>
      </c>
    </row>
    <row r="51" spans="1:15" ht="30" x14ac:dyDescent="0.25">
      <c r="A51">
        <v>1</v>
      </c>
      <c r="B51" t="s">
        <v>39</v>
      </c>
      <c r="C51" t="s">
        <v>13</v>
      </c>
      <c r="D51" t="s">
        <v>31</v>
      </c>
      <c r="E51">
        <v>10</v>
      </c>
      <c r="F51">
        <f t="shared" si="3"/>
        <v>50</v>
      </c>
      <c r="G51" s="3" t="s">
        <v>58</v>
      </c>
      <c r="H51" t="s">
        <v>18</v>
      </c>
      <c r="I51" s="4">
        <v>150</v>
      </c>
      <c r="J51" s="1" t="str">
        <f t="shared" si="1"/>
        <v>3/2</v>
      </c>
      <c r="K51" s="2">
        <f t="shared" ref="K51" si="10">_xlfn.LET(
    _xlpm.o, VALUE(I51),
    _xlpm.prob, IF(_xlpm.o&gt;0, 100/(_xlpm.o+100), ABS(_xlpm.o)/(ABS(_xlpm.o)+100)),
    _xlpm.prob
)</f>
        <v>0.4</v>
      </c>
      <c r="L51" s="5">
        <f t="shared" si="2"/>
        <v>1</v>
      </c>
      <c r="M51" t="s">
        <v>16</v>
      </c>
    </row>
    <row r="52" spans="1:15" ht="30" x14ac:dyDescent="0.25">
      <c r="A52">
        <v>1</v>
      </c>
      <c r="B52" t="s">
        <v>39</v>
      </c>
      <c r="C52" t="s">
        <v>13</v>
      </c>
      <c r="D52" t="s">
        <v>31</v>
      </c>
      <c r="E52">
        <v>10</v>
      </c>
      <c r="F52">
        <f t="shared" si="3"/>
        <v>51</v>
      </c>
      <c r="G52" s="3" t="s">
        <v>58</v>
      </c>
      <c r="H52" t="s">
        <v>19</v>
      </c>
      <c r="I52" s="4">
        <v>-150</v>
      </c>
      <c r="J52" s="1" t="str">
        <f t="shared" si="1"/>
        <v>3/5</v>
      </c>
      <c r="K52" s="2">
        <f t="shared" ref="K52" si="11">_xlfn.LET(
    _xlpm.o, VALUE(I52),
    _xlpm.prob, IF(_xlpm.o&gt;0, 100/(_xlpm.o+100), ABS(_xlpm.o)/(ABS(_xlpm.o)+100)),
    _xlpm.prob
)</f>
        <v>0.6</v>
      </c>
      <c r="L52" s="5">
        <f t="shared" si="2"/>
        <v>1</v>
      </c>
      <c r="M52" t="s">
        <v>64</v>
      </c>
    </row>
    <row r="53" spans="1:15" ht="45" x14ac:dyDescent="0.25">
      <c r="A53">
        <v>1</v>
      </c>
      <c r="B53" t="s">
        <v>39</v>
      </c>
      <c r="C53" t="s">
        <v>13</v>
      </c>
      <c r="D53" t="s">
        <v>31</v>
      </c>
      <c r="E53">
        <v>11</v>
      </c>
      <c r="F53">
        <f t="shared" si="3"/>
        <v>52</v>
      </c>
      <c r="G53" s="3" t="s">
        <v>59</v>
      </c>
      <c r="H53" t="s">
        <v>18</v>
      </c>
      <c r="I53" s="4">
        <v>-130</v>
      </c>
      <c r="J53" s="1" t="str">
        <f t="shared" si="1"/>
        <v>13/23</v>
      </c>
      <c r="K53" s="2">
        <f t="shared" ref="K53:K54" si="12">_xlfn.LET(
    _xlpm.o, VALUE(I53),
    _xlpm.prob, IF(_xlpm.o&gt;0, 100/(_xlpm.o+100), ABS(_xlpm.o)/(ABS(_xlpm.o)+100)),
    _xlpm.prob
)</f>
        <v>0.56521739130434778</v>
      </c>
      <c r="L53" s="5">
        <f t="shared" si="2"/>
        <v>1</v>
      </c>
      <c r="M53" t="s">
        <v>66</v>
      </c>
    </row>
    <row r="54" spans="1:15" ht="45" x14ac:dyDescent="0.25">
      <c r="A54">
        <v>1</v>
      </c>
      <c r="B54" t="s">
        <v>39</v>
      </c>
      <c r="C54" t="s">
        <v>13</v>
      </c>
      <c r="D54" t="s">
        <v>31</v>
      </c>
      <c r="E54">
        <v>11</v>
      </c>
      <c r="F54">
        <f t="shared" si="3"/>
        <v>53</v>
      </c>
      <c r="G54" s="3" t="s">
        <v>59</v>
      </c>
      <c r="H54" t="s">
        <v>19</v>
      </c>
      <c r="I54" s="4">
        <v>130</v>
      </c>
      <c r="J54" s="1" t="str">
        <f t="shared" si="1"/>
        <v>13/10</v>
      </c>
      <c r="K54" s="2">
        <f t="shared" si="12"/>
        <v>0.43478260869565216</v>
      </c>
      <c r="L54" s="5">
        <f t="shared" si="2"/>
        <v>1</v>
      </c>
      <c r="M54" t="s">
        <v>66</v>
      </c>
    </row>
    <row r="55" spans="1:15" ht="30" x14ac:dyDescent="0.25">
      <c r="A55">
        <v>1</v>
      </c>
      <c r="B55" t="s">
        <v>39</v>
      </c>
      <c r="C55" t="s">
        <v>13</v>
      </c>
      <c r="D55" t="s">
        <v>31</v>
      </c>
      <c r="E55">
        <v>12</v>
      </c>
      <c r="F55">
        <f t="shared" si="3"/>
        <v>54</v>
      </c>
      <c r="G55" s="3" t="s">
        <v>60</v>
      </c>
      <c r="H55" t="s">
        <v>18</v>
      </c>
      <c r="I55" s="4">
        <v>-110</v>
      </c>
      <c r="J55" s="1" t="str">
        <f t="shared" si="1"/>
        <v>11/21</v>
      </c>
      <c r="K55" s="2">
        <f t="shared" ref="K55:K56" si="13">_xlfn.LET(
    _xlpm.o, VALUE(I55),
    _xlpm.prob, IF(_xlpm.o&gt;0, 100/(_xlpm.o+100), ABS(_xlpm.o)/(ABS(_xlpm.o)+100)),
    _xlpm.prob
)</f>
        <v>0.52380952380952384</v>
      </c>
      <c r="L55" s="5">
        <f t="shared" si="2"/>
        <v>1</v>
      </c>
      <c r="M55" t="s">
        <v>64</v>
      </c>
    </row>
    <row r="56" spans="1:15" ht="30" x14ac:dyDescent="0.25">
      <c r="A56">
        <v>1</v>
      </c>
      <c r="B56" t="s">
        <v>39</v>
      </c>
      <c r="C56" t="s">
        <v>13</v>
      </c>
      <c r="D56" t="s">
        <v>31</v>
      </c>
      <c r="E56">
        <v>12</v>
      </c>
      <c r="F56">
        <f t="shared" si="3"/>
        <v>55</v>
      </c>
      <c r="G56" s="3" t="s">
        <v>60</v>
      </c>
      <c r="H56" t="s">
        <v>19</v>
      </c>
      <c r="I56" s="4">
        <v>110</v>
      </c>
      <c r="J56" s="1" t="str">
        <f t="shared" si="1"/>
        <v>11/10</v>
      </c>
      <c r="K56" s="2">
        <f t="shared" si="13"/>
        <v>0.47619047619047616</v>
      </c>
      <c r="L56" s="5">
        <f t="shared" si="2"/>
        <v>1</v>
      </c>
      <c r="M56" t="s">
        <v>16</v>
      </c>
    </row>
    <row r="57" spans="1:15" x14ac:dyDescent="0.25">
      <c r="A57">
        <v>1</v>
      </c>
      <c r="B57" t="s">
        <v>39</v>
      </c>
      <c r="C57" t="s">
        <v>13</v>
      </c>
      <c r="D57" t="s">
        <v>31</v>
      </c>
      <c r="E57">
        <v>13</v>
      </c>
      <c r="F57">
        <f t="shared" si="3"/>
        <v>56</v>
      </c>
      <c r="G57" s="3" t="s">
        <v>61</v>
      </c>
      <c r="H57" t="s">
        <v>34</v>
      </c>
      <c r="I57" s="4">
        <v>-120</v>
      </c>
      <c r="J57" s="1" t="str">
        <f t="shared" si="1"/>
        <v>6/11</v>
      </c>
      <c r="K57" s="2">
        <f t="shared" ref="K57:K58" si="14">_xlfn.LET(
    _xlpm.o, VALUE(I57),
    _xlpm.prob, IF(_xlpm.o&gt;0, 100/(_xlpm.o+100), ABS(_xlpm.o)/(ABS(_xlpm.o)+100)),
    _xlpm.prob
)</f>
        <v>0.54545454545454541</v>
      </c>
      <c r="L57" s="5">
        <f t="shared" si="2"/>
        <v>1</v>
      </c>
      <c r="M57" t="s">
        <v>16</v>
      </c>
    </row>
    <row r="58" spans="1:15" x14ac:dyDescent="0.25">
      <c r="A58">
        <v>1</v>
      </c>
      <c r="B58" t="s">
        <v>39</v>
      </c>
      <c r="C58" t="s">
        <v>13</v>
      </c>
      <c r="D58" t="s">
        <v>31</v>
      </c>
      <c r="E58">
        <v>13</v>
      </c>
      <c r="F58">
        <f t="shared" si="3"/>
        <v>57</v>
      </c>
      <c r="G58" s="3" t="s">
        <v>61</v>
      </c>
      <c r="H58" t="s">
        <v>35</v>
      </c>
      <c r="I58" s="4">
        <v>120</v>
      </c>
      <c r="J58" s="1" t="str">
        <f t="shared" si="1"/>
        <v>6/5</v>
      </c>
      <c r="K58" s="2">
        <f t="shared" si="14"/>
        <v>0.45454545454545453</v>
      </c>
      <c r="L58" s="5">
        <f t="shared" si="2"/>
        <v>1</v>
      </c>
      <c r="M58" t="s">
        <v>64</v>
      </c>
    </row>
    <row r="59" spans="1:15" x14ac:dyDescent="0.25">
      <c r="A59">
        <v>2</v>
      </c>
      <c r="B59" t="s">
        <v>50</v>
      </c>
      <c r="C59" t="s">
        <v>21</v>
      </c>
      <c r="D59" t="s">
        <v>25</v>
      </c>
      <c r="E59">
        <v>14</v>
      </c>
      <c r="F59">
        <f t="shared" si="3"/>
        <v>58</v>
      </c>
      <c r="G59" t="s">
        <v>17</v>
      </c>
      <c r="H59" t="s">
        <v>7</v>
      </c>
      <c r="I59" s="4">
        <v>100</v>
      </c>
      <c r="J59" s="1" t="str">
        <f t="shared" si="1"/>
        <v>1/1</v>
      </c>
      <c r="K59" s="2">
        <f t="shared" ref="K59:K62" si="15">_xlfn.LET(
    _xlpm.o, VALUE(I59),
    _xlpm.prob, IF(_xlpm.o&gt;0, 100/(_xlpm.o+100), ABS(_xlpm.o)/(ABS(_xlpm.o)+100)),
    _xlpm.prob
)</f>
        <v>0.5</v>
      </c>
      <c r="L59" s="5">
        <f t="shared" si="2"/>
        <v>1.2575757575757576</v>
      </c>
      <c r="M59" t="s">
        <v>67</v>
      </c>
    </row>
    <row r="60" spans="1:15" x14ac:dyDescent="0.25">
      <c r="A60">
        <v>2</v>
      </c>
      <c r="B60" t="s">
        <v>50</v>
      </c>
      <c r="C60" t="s">
        <v>21</v>
      </c>
      <c r="D60" t="s">
        <v>25</v>
      </c>
      <c r="E60">
        <v>14</v>
      </c>
      <c r="F60">
        <f t="shared" si="3"/>
        <v>59</v>
      </c>
      <c r="G60" t="s">
        <v>17</v>
      </c>
      <c r="H60" t="s">
        <v>1</v>
      </c>
      <c r="I60" s="4">
        <v>250</v>
      </c>
      <c r="J60" s="1" t="str">
        <f t="shared" si="1"/>
        <v>5/2</v>
      </c>
      <c r="K60" s="2">
        <f t="shared" si="15"/>
        <v>0.2857142857142857</v>
      </c>
      <c r="L60" s="5">
        <f t="shared" si="2"/>
        <v>1.2575757575757576</v>
      </c>
      <c r="M60" t="s">
        <v>67</v>
      </c>
    </row>
    <row r="61" spans="1:15" x14ac:dyDescent="0.25">
      <c r="A61">
        <v>2</v>
      </c>
      <c r="B61" t="s">
        <v>50</v>
      </c>
      <c r="C61" t="s">
        <v>21</v>
      </c>
      <c r="D61" t="s">
        <v>25</v>
      </c>
      <c r="E61">
        <v>14</v>
      </c>
      <c r="F61">
        <f t="shared" si="3"/>
        <v>60</v>
      </c>
      <c r="G61" t="s">
        <v>17</v>
      </c>
      <c r="H61" t="s">
        <v>8</v>
      </c>
      <c r="I61" s="4">
        <v>200</v>
      </c>
      <c r="J61" s="1" t="str">
        <f t="shared" si="1"/>
        <v>2/1</v>
      </c>
      <c r="K61" s="2">
        <f t="shared" si="15"/>
        <v>0.33333333333333331</v>
      </c>
      <c r="L61" s="5">
        <f t="shared" si="2"/>
        <v>1.2575757575757576</v>
      </c>
      <c r="M61" t="s">
        <v>67</v>
      </c>
    </row>
    <row r="62" spans="1:15" x14ac:dyDescent="0.25">
      <c r="A62">
        <v>2</v>
      </c>
      <c r="B62" t="s">
        <v>50</v>
      </c>
      <c r="C62" t="s">
        <v>21</v>
      </c>
      <c r="D62" t="s">
        <v>25</v>
      </c>
      <c r="E62">
        <v>14</v>
      </c>
      <c r="F62">
        <f t="shared" si="3"/>
        <v>61</v>
      </c>
      <c r="G62" t="s">
        <v>17</v>
      </c>
      <c r="H62" t="s">
        <v>2</v>
      </c>
      <c r="I62" s="4">
        <v>1000</v>
      </c>
      <c r="J62" s="1" t="str">
        <f t="shared" si="1"/>
        <v>10/1</v>
      </c>
      <c r="K62" s="2">
        <f t="shared" si="15"/>
        <v>9.0909090909090912E-2</v>
      </c>
      <c r="L62" s="5">
        <f t="shared" si="2"/>
        <v>1.2575757575757576</v>
      </c>
      <c r="M62" t="s">
        <v>67</v>
      </c>
    </row>
    <row r="63" spans="1:15" x14ac:dyDescent="0.25">
      <c r="A63">
        <v>2</v>
      </c>
      <c r="B63" t="s">
        <v>50</v>
      </c>
      <c r="C63" t="s">
        <v>21</v>
      </c>
      <c r="D63" t="s">
        <v>25</v>
      </c>
      <c r="E63">
        <v>14</v>
      </c>
      <c r="F63">
        <f t="shared" si="3"/>
        <v>62</v>
      </c>
      <c r="G63" t="s">
        <v>17</v>
      </c>
      <c r="H63" t="s">
        <v>20</v>
      </c>
      <c r="I63" s="4">
        <v>2000</v>
      </c>
      <c r="J63" s="1" t="str">
        <f t="shared" si="1"/>
        <v>20/1</v>
      </c>
      <c r="K63" s="2">
        <f t="shared" ref="K63" si="16">_xlfn.LET(
    _xlpm.o, VALUE(I63),
    _xlpm.prob, IF(_xlpm.o&gt;0, 100/(_xlpm.o+100), ABS(_xlpm.o)/(ABS(_xlpm.o)+100)),
    _xlpm.prob
)</f>
        <v>4.7619047619047616E-2</v>
      </c>
      <c r="L63" s="5">
        <f t="shared" si="2"/>
        <v>1.2575757575757576</v>
      </c>
      <c r="M63" t="s">
        <v>67</v>
      </c>
    </row>
    <row r="64" spans="1:15" x14ac:dyDescent="0.25">
      <c r="A64">
        <v>2</v>
      </c>
      <c r="B64" t="s">
        <v>50</v>
      </c>
      <c r="C64" t="s">
        <v>21</v>
      </c>
      <c r="D64" t="s">
        <v>26</v>
      </c>
      <c r="E64">
        <v>15</v>
      </c>
      <c r="F64">
        <f t="shared" si="3"/>
        <v>63</v>
      </c>
      <c r="G64" t="s">
        <v>37</v>
      </c>
      <c r="H64" t="s">
        <v>11</v>
      </c>
      <c r="I64" s="4">
        <v>120</v>
      </c>
      <c r="J64" s="1" t="str">
        <f t="shared" si="1"/>
        <v>6/5</v>
      </c>
      <c r="K64" s="2">
        <f t="shared" ref="K64:K70" si="17">_xlfn.LET(
    _xlpm.o, VALUE(I64),
    _xlpm.prob, IF(_xlpm.o&gt;0, 100/(_xlpm.o+100), ABS(_xlpm.o)/(ABS(_xlpm.o)+100)),
    _xlpm.prob
)</f>
        <v>0.45454545454545453</v>
      </c>
      <c r="L64" s="5">
        <f t="shared" si="2"/>
        <v>2.3119429590017821</v>
      </c>
      <c r="M64" t="s">
        <v>67</v>
      </c>
    </row>
    <row r="65" spans="1:13" x14ac:dyDescent="0.25">
      <c r="A65">
        <v>2</v>
      </c>
      <c r="B65" t="s">
        <v>50</v>
      </c>
      <c r="C65" t="s">
        <v>21</v>
      </c>
      <c r="D65" t="s">
        <v>26</v>
      </c>
      <c r="E65">
        <v>15</v>
      </c>
      <c r="F65">
        <f t="shared" si="3"/>
        <v>64</v>
      </c>
      <c r="G65" t="s">
        <v>37</v>
      </c>
      <c r="H65" t="s">
        <v>0</v>
      </c>
      <c r="I65" s="4">
        <v>120</v>
      </c>
      <c r="J65" s="1" t="str">
        <f t="shared" si="1"/>
        <v>6/5</v>
      </c>
      <c r="K65" s="2">
        <f t="shared" si="17"/>
        <v>0.45454545454545453</v>
      </c>
      <c r="L65" s="5">
        <f t="shared" si="2"/>
        <v>2.3119429590017821</v>
      </c>
      <c r="M65" t="s">
        <v>67</v>
      </c>
    </row>
    <row r="66" spans="1:13" x14ac:dyDescent="0.25">
      <c r="A66">
        <v>2</v>
      </c>
      <c r="B66" t="s">
        <v>50</v>
      </c>
      <c r="C66" t="s">
        <v>21</v>
      </c>
      <c r="D66" t="s">
        <v>26</v>
      </c>
      <c r="E66">
        <v>15</v>
      </c>
      <c r="F66">
        <f t="shared" si="3"/>
        <v>65</v>
      </c>
      <c r="G66" t="s">
        <v>37</v>
      </c>
      <c r="H66" t="s">
        <v>6</v>
      </c>
      <c r="I66" s="4">
        <v>120</v>
      </c>
      <c r="J66" s="1" t="str">
        <f t="shared" si="1"/>
        <v>6/5</v>
      </c>
      <c r="K66" s="2">
        <f t="shared" si="17"/>
        <v>0.45454545454545453</v>
      </c>
      <c r="L66" s="5">
        <f t="shared" si="2"/>
        <v>2.3119429590017821</v>
      </c>
      <c r="M66" t="s">
        <v>67</v>
      </c>
    </row>
    <row r="67" spans="1:13" x14ac:dyDescent="0.25">
      <c r="A67">
        <v>2</v>
      </c>
      <c r="B67" t="s">
        <v>50</v>
      </c>
      <c r="C67" t="s">
        <v>21</v>
      </c>
      <c r="D67" t="s">
        <v>26</v>
      </c>
      <c r="E67">
        <v>15</v>
      </c>
      <c r="F67">
        <f t="shared" si="3"/>
        <v>66</v>
      </c>
      <c r="G67" t="s">
        <v>37</v>
      </c>
      <c r="H67" t="s">
        <v>9</v>
      </c>
      <c r="I67" s="4">
        <v>5000</v>
      </c>
      <c r="J67" s="1" t="str">
        <f t="shared" si="1"/>
        <v>50/1</v>
      </c>
      <c r="K67" s="2">
        <f t="shared" si="17"/>
        <v>1.9607843137254902E-2</v>
      </c>
      <c r="L67" s="5">
        <f t="shared" ref="L67:L88" si="18">SUMIF(E:E,E67,K:K)</f>
        <v>2.3119429590017821</v>
      </c>
      <c r="M67" t="s">
        <v>67</v>
      </c>
    </row>
    <row r="68" spans="1:13" x14ac:dyDescent="0.25">
      <c r="A68">
        <v>2</v>
      </c>
      <c r="B68" t="s">
        <v>50</v>
      </c>
      <c r="C68" t="s">
        <v>21</v>
      </c>
      <c r="D68" t="s">
        <v>26</v>
      </c>
      <c r="E68">
        <v>15</v>
      </c>
      <c r="F68">
        <f t="shared" si="3"/>
        <v>67</v>
      </c>
      <c r="G68" t="s">
        <v>37</v>
      </c>
      <c r="H68" t="s">
        <v>3</v>
      </c>
      <c r="I68" s="4">
        <v>120</v>
      </c>
      <c r="J68" s="1" t="str">
        <f t="shared" si="1"/>
        <v>6/5</v>
      </c>
      <c r="K68" s="2">
        <f t="shared" si="17"/>
        <v>0.45454545454545453</v>
      </c>
      <c r="L68" s="5">
        <f t="shared" si="18"/>
        <v>2.3119429590017821</v>
      </c>
      <c r="M68" t="s">
        <v>67</v>
      </c>
    </row>
    <row r="69" spans="1:13" x14ac:dyDescent="0.25">
      <c r="A69">
        <v>2</v>
      </c>
      <c r="B69" t="s">
        <v>50</v>
      </c>
      <c r="C69" t="s">
        <v>21</v>
      </c>
      <c r="D69" t="s">
        <v>26</v>
      </c>
      <c r="E69">
        <v>15</v>
      </c>
      <c r="F69">
        <f t="shared" si="3"/>
        <v>68</v>
      </c>
      <c r="G69" t="s">
        <v>37</v>
      </c>
      <c r="H69" t="s">
        <v>10</v>
      </c>
      <c r="I69" s="4">
        <v>120</v>
      </c>
      <c r="J69" s="1" t="str">
        <f t="shared" si="1"/>
        <v>6/5</v>
      </c>
      <c r="K69" s="2">
        <f t="shared" si="17"/>
        <v>0.45454545454545453</v>
      </c>
      <c r="L69" s="5">
        <f t="shared" si="18"/>
        <v>2.3119429590017821</v>
      </c>
      <c r="M69" t="s">
        <v>67</v>
      </c>
    </row>
    <row r="70" spans="1:13" x14ac:dyDescent="0.25">
      <c r="A70">
        <v>2</v>
      </c>
      <c r="B70" t="s">
        <v>50</v>
      </c>
      <c r="C70" t="s">
        <v>21</v>
      </c>
      <c r="D70" t="s">
        <v>26</v>
      </c>
      <c r="E70">
        <v>15</v>
      </c>
      <c r="F70">
        <f t="shared" si="3"/>
        <v>69</v>
      </c>
      <c r="G70" t="s">
        <v>37</v>
      </c>
      <c r="H70" t="s">
        <v>20</v>
      </c>
      <c r="I70" s="4">
        <v>5000</v>
      </c>
      <c r="J70" s="1" t="str">
        <f t="shared" si="1"/>
        <v>50/1</v>
      </c>
      <c r="K70" s="2">
        <f t="shared" si="17"/>
        <v>1.9607843137254902E-2</v>
      </c>
      <c r="L70" s="5">
        <f t="shared" si="18"/>
        <v>2.3119429590017821</v>
      </c>
      <c r="M70" t="s">
        <v>67</v>
      </c>
    </row>
    <row r="71" spans="1:13" x14ac:dyDescent="0.25">
      <c r="A71">
        <v>2</v>
      </c>
      <c r="B71" t="s">
        <v>50</v>
      </c>
      <c r="C71" t="s">
        <v>14</v>
      </c>
      <c r="D71" t="s">
        <v>25</v>
      </c>
      <c r="E71">
        <v>16</v>
      </c>
      <c r="F71">
        <f t="shared" si="3"/>
        <v>70</v>
      </c>
      <c r="G71" t="s">
        <v>51</v>
      </c>
      <c r="H71" t="s">
        <v>7</v>
      </c>
      <c r="I71">
        <v>110</v>
      </c>
      <c r="J71" s="1" t="str">
        <f t="shared" si="1"/>
        <v>11/10</v>
      </c>
      <c r="K71" s="2">
        <f t="shared" ref="K71:K82" si="19">_xlfn.LET(
    _xlpm.o, VALUE(I71),
    _xlpm.prob, IF(_xlpm.o&gt;0, 100/(_xlpm.o+100), ABS(_xlpm.o)/(ABS(_xlpm.o)+100)),
    _xlpm.prob
)</f>
        <v>0.47619047619047616</v>
      </c>
      <c r="L71" s="5">
        <f t="shared" si="18"/>
        <v>1.7246078518646948</v>
      </c>
      <c r="M71" t="s">
        <v>67</v>
      </c>
    </row>
    <row r="72" spans="1:13" x14ac:dyDescent="0.25">
      <c r="A72">
        <v>2</v>
      </c>
      <c r="B72" t="s">
        <v>50</v>
      </c>
      <c r="C72" t="s">
        <v>14</v>
      </c>
      <c r="D72" t="s">
        <v>25</v>
      </c>
      <c r="E72">
        <v>16</v>
      </c>
      <c r="F72">
        <f t="shared" si="3"/>
        <v>71</v>
      </c>
      <c r="G72" t="s">
        <v>51</v>
      </c>
      <c r="H72" t="s">
        <v>8</v>
      </c>
      <c r="I72">
        <v>120</v>
      </c>
      <c r="J72" s="1" t="str">
        <f t="shared" si="1"/>
        <v>6/5</v>
      </c>
      <c r="K72" s="2">
        <f t="shared" si="19"/>
        <v>0.45454545454545453</v>
      </c>
      <c r="L72" s="5">
        <f t="shared" si="18"/>
        <v>1.7246078518646948</v>
      </c>
      <c r="M72" t="s">
        <v>67</v>
      </c>
    </row>
    <row r="73" spans="1:13" x14ac:dyDescent="0.25">
      <c r="A73">
        <v>2</v>
      </c>
      <c r="B73" t="s">
        <v>50</v>
      </c>
      <c r="C73" t="s">
        <v>14</v>
      </c>
      <c r="D73" t="s">
        <v>25</v>
      </c>
      <c r="E73">
        <v>16</v>
      </c>
      <c r="F73">
        <f t="shared" si="3"/>
        <v>72</v>
      </c>
      <c r="G73" t="s">
        <v>51</v>
      </c>
      <c r="H73" t="s">
        <v>2</v>
      </c>
      <c r="I73">
        <v>220</v>
      </c>
      <c r="J73" s="1" t="str">
        <f t="shared" si="1"/>
        <v>11/5</v>
      </c>
      <c r="K73" s="2">
        <f t="shared" si="19"/>
        <v>0.3125</v>
      </c>
      <c r="L73" s="5">
        <f t="shared" si="18"/>
        <v>1.7246078518646948</v>
      </c>
      <c r="M73" t="s">
        <v>67</v>
      </c>
    </row>
    <row r="74" spans="1:13" x14ac:dyDescent="0.25">
      <c r="A74">
        <v>2</v>
      </c>
      <c r="B74" t="s">
        <v>50</v>
      </c>
      <c r="C74" t="s">
        <v>14</v>
      </c>
      <c r="D74" t="s">
        <v>25</v>
      </c>
      <c r="E74">
        <v>16</v>
      </c>
      <c r="F74">
        <f t="shared" si="3"/>
        <v>73</v>
      </c>
      <c r="G74" t="s">
        <v>51</v>
      </c>
      <c r="H74" t="s">
        <v>0</v>
      </c>
      <c r="I74">
        <v>1000</v>
      </c>
      <c r="J74" s="1" t="str">
        <f t="shared" si="1"/>
        <v>10/1</v>
      </c>
      <c r="K74" s="2">
        <f t="shared" si="19"/>
        <v>9.0909090909090912E-2</v>
      </c>
      <c r="L74" s="5">
        <f t="shared" si="18"/>
        <v>1.7246078518646948</v>
      </c>
      <c r="M74" t="s">
        <v>67</v>
      </c>
    </row>
    <row r="75" spans="1:13" x14ac:dyDescent="0.25">
      <c r="A75">
        <v>2</v>
      </c>
      <c r="B75" t="s">
        <v>50</v>
      </c>
      <c r="C75" t="s">
        <v>14</v>
      </c>
      <c r="D75" t="s">
        <v>25</v>
      </c>
      <c r="E75">
        <v>16</v>
      </c>
      <c r="F75">
        <f t="shared" si="3"/>
        <v>74</v>
      </c>
      <c r="G75" t="s">
        <v>51</v>
      </c>
      <c r="H75" t="s">
        <v>1</v>
      </c>
      <c r="I75">
        <v>1200</v>
      </c>
      <c r="J75" s="1" t="str">
        <f t="shared" ref="J75:J82" si="20">_xlfn.LET(
    _xlpm.o, I75,
    _xlpm.abs_o, ABS(_xlpm.o),
    _xlpm.num, IF(_xlpm.o&gt;0, _xlpm.o, _xlpm.abs_o),
    _xlpm.den, IF(_xlpm.o&gt;0, 100, 100+_xlpm.abs_o),
    _xlpm.g, GCD(_xlpm.num, _xlpm.den),
    (_xlpm.num/_xlpm.g) &amp; "/" &amp; (_xlpm.den/_xlpm.g)
)</f>
        <v>12/1</v>
      </c>
      <c r="K75" s="2">
        <f t="shared" si="19"/>
        <v>7.6923076923076927E-2</v>
      </c>
      <c r="L75" s="5">
        <f t="shared" si="18"/>
        <v>1.7246078518646948</v>
      </c>
      <c r="M75" t="s">
        <v>67</v>
      </c>
    </row>
    <row r="76" spans="1:13" x14ac:dyDescent="0.25">
      <c r="A76">
        <v>2</v>
      </c>
      <c r="B76" t="s">
        <v>50</v>
      </c>
      <c r="C76" t="s">
        <v>14</v>
      </c>
      <c r="D76" t="s">
        <v>25</v>
      </c>
      <c r="E76">
        <v>16</v>
      </c>
      <c r="F76">
        <f t="shared" ref="F76:F88" si="21">F75+1</f>
        <v>75</v>
      </c>
      <c r="G76" t="s">
        <v>51</v>
      </c>
      <c r="H76" t="s">
        <v>3</v>
      </c>
      <c r="I76">
        <v>1200</v>
      </c>
      <c r="J76" s="1" t="str">
        <f t="shared" si="20"/>
        <v>12/1</v>
      </c>
      <c r="K76" s="2">
        <f t="shared" si="19"/>
        <v>7.6923076923076927E-2</v>
      </c>
      <c r="L76" s="5">
        <f t="shared" si="18"/>
        <v>1.7246078518646948</v>
      </c>
      <c r="M76" t="s">
        <v>67</v>
      </c>
    </row>
    <row r="77" spans="1:13" x14ac:dyDescent="0.25">
      <c r="A77">
        <v>2</v>
      </c>
      <c r="B77" t="s">
        <v>50</v>
      </c>
      <c r="C77" t="s">
        <v>14</v>
      </c>
      <c r="D77" t="s">
        <v>25</v>
      </c>
      <c r="E77">
        <v>16</v>
      </c>
      <c r="F77">
        <f t="shared" si="21"/>
        <v>76</v>
      </c>
      <c r="G77" t="s">
        <v>51</v>
      </c>
      <c r="H77" t="s">
        <v>6</v>
      </c>
      <c r="I77">
        <v>1500</v>
      </c>
      <c r="J77" s="1" t="str">
        <f t="shared" si="20"/>
        <v>15/1</v>
      </c>
      <c r="K77" s="2">
        <f t="shared" si="19"/>
        <v>6.25E-2</v>
      </c>
      <c r="L77" s="5">
        <f t="shared" si="18"/>
        <v>1.7246078518646948</v>
      </c>
      <c r="M77" t="s">
        <v>67</v>
      </c>
    </row>
    <row r="78" spans="1:13" x14ac:dyDescent="0.25">
      <c r="A78">
        <v>2</v>
      </c>
      <c r="B78" t="s">
        <v>50</v>
      </c>
      <c r="C78" t="s">
        <v>14</v>
      </c>
      <c r="D78" t="s">
        <v>25</v>
      </c>
      <c r="E78">
        <v>16</v>
      </c>
      <c r="F78">
        <f t="shared" si="21"/>
        <v>77</v>
      </c>
      <c r="G78" t="s">
        <v>51</v>
      </c>
      <c r="H78" t="s">
        <v>10</v>
      </c>
      <c r="I78">
        <v>1500</v>
      </c>
      <c r="J78" s="1" t="str">
        <f t="shared" si="20"/>
        <v>15/1</v>
      </c>
      <c r="K78" s="2">
        <f t="shared" si="19"/>
        <v>6.25E-2</v>
      </c>
      <c r="L78" s="5">
        <f t="shared" si="18"/>
        <v>1.7246078518646948</v>
      </c>
      <c r="M78" t="s">
        <v>67</v>
      </c>
    </row>
    <row r="79" spans="1:13" x14ac:dyDescent="0.25">
      <c r="A79">
        <v>2</v>
      </c>
      <c r="B79" t="s">
        <v>50</v>
      </c>
      <c r="C79" t="s">
        <v>14</v>
      </c>
      <c r="D79" t="s">
        <v>25</v>
      </c>
      <c r="E79">
        <v>16</v>
      </c>
      <c r="F79">
        <f t="shared" si="21"/>
        <v>78</v>
      </c>
      <c r="G79" t="s">
        <v>51</v>
      </c>
      <c r="H79" t="s">
        <v>11</v>
      </c>
      <c r="I79">
        <v>1500</v>
      </c>
      <c r="J79" s="1" t="str">
        <f t="shared" si="20"/>
        <v>15/1</v>
      </c>
      <c r="K79" s="2">
        <f t="shared" si="19"/>
        <v>6.25E-2</v>
      </c>
      <c r="L79" s="5">
        <f t="shared" si="18"/>
        <v>1.7246078518646948</v>
      </c>
      <c r="M79" t="s">
        <v>67</v>
      </c>
    </row>
    <row r="80" spans="1:13" x14ac:dyDescent="0.25">
      <c r="A80">
        <v>2</v>
      </c>
      <c r="B80" t="s">
        <v>50</v>
      </c>
      <c r="C80" t="s">
        <v>14</v>
      </c>
      <c r="D80" t="s">
        <v>25</v>
      </c>
      <c r="E80">
        <v>16</v>
      </c>
      <c r="F80">
        <f t="shared" si="21"/>
        <v>79</v>
      </c>
      <c r="G80" t="s">
        <v>51</v>
      </c>
      <c r="H80" t="s">
        <v>4</v>
      </c>
      <c r="I80">
        <v>5000</v>
      </c>
      <c r="J80" s="1" t="str">
        <f t="shared" si="20"/>
        <v>50/1</v>
      </c>
      <c r="K80" s="2">
        <f t="shared" si="19"/>
        <v>1.9607843137254902E-2</v>
      </c>
      <c r="L80" s="5">
        <f t="shared" si="18"/>
        <v>1.7246078518646948</v>
      </c>
      <c r="M80" t="s">
        <v>67</v>
      </c>
    </row>
    <row r="81" spans="1:13" x14ac:dyDescent="0.25">
      <c r="A81">
        <v>2</v>
      </c>
      <c r="B81" t="s">
        <v>50</v>
      </c>
      <c r="C81" t="s">
        <v>14</v>
      </c>
      <c r="D81" t="s">
        <v>25</v>
      </c>
      <c r="E81">
        <v>16</v>
      </c>
      <c r="F81">
        <f t="shared" si="21"/>
        <v>80</v>
      </c>
      <c r="G81" t="s">
        <v>51</v>
      </c>
      <c r="H81" t="s">
        <v>12</v>
      </c>
      <c r="I81">
        <v>5000</v>
      </c>
      <c r="J81" s="1" t="str">
        <f t="shared" si="20"/>
        <v>50/1</v>
      </c>
      <c r="K81" s="2">
        <f t="shared" si="19"/>
        <v>1.9607843137254902E-2</v>
      </c>
      <c r="L81" s="5">
        <f t="shared" si="18"/>
        <v>1.7246078518646948</v>
      </c>
      <c r="M81" t="s">
        <v>67</v>
      </c>
    </row>
    <row r="82" spans="1:13" x14ac:dyDescent="0.25">
      <c r="A82">
        <v>2</v>
      </c>
      <c r="B82" t="s">
        <v>50</v>
      </c>
      <c r="C82" t="s">
        <v>14</v>
      </c>
      <c r="D82" t="s">
        <v>25</v>
      </c>
      <c r="E82">
        <v>16</v>
      </c>
      <c r="F82">
        <f t="shared" si="21"/>
        <v>81</v>
      </c>
      <c r="G82" t="s">
        <v>51</v>
      </c>
      <c r="H82" t="s">
        <v>20</v>
      </c>
      <c r="I82">
        <v>10000</v>
      </c>
      <c r="J82" s="1" t="str">
        <f t="shared" si="20"/>
        <v>100/1</v>
      </c>
      <c r="K82" s="2">
        <f t="shared" si="19"/>
        <v>9.9009900990099011E-3</v>
      </c>
      <c r="L82" s="5">
        <f t="shared" si="18"/>
        <v>1.7246078518646948</v>
      </c>
      <c r="M82" t="s">
        <v>67</v>
      </c>
    </row>
    <row r="83" spans="1:13" x14ac:dyDescent="0.25">
      <c r="A83">
        <v>2</v>
      </c>
      <c r="B83" t="s">
        <v>50</v>
      </c>
      <c r="C83" t="s">
        <v>14</v>
      </c>
      <c r="D83" t="s">
        <v>28</v>
      </c>
      <c r="E83">
        <v>17</v>
      </c>
      <c r="F83">
        <f t="shared" si="21"/>
        <v>82</v>
      </c>
      <c r="G83" t="s">
        <v>54</v>
      </c>
      <c r="H83" t="s">
        <v>15</v>
      </c>
      <c r="I83" s="4">
        <v>100</v>
      </c>
      <c r="J83" s="1" t="str">
        <f>_xlfn.LET(
    _xlpm.o, I83,
    _xlpm.abs_o, ABS(_xlpm.o),
    _xlpm.num, IF(_xlpm.o&gt;0, _xlpm.o, _xlpm.abs_o),
    _xlpm.den, IF(_xlpm.o&gt;0, 100, 100+_xlpm.abs_o),
    _xlpm.g, GCD(_xlpm.num, _xlpm.den),
    (_xlpm.num/_xlpm.g) &amp; "/" &amp; (_xlpm.den/_xlpm.g)
)</f>
        <v>1/1</v>
      </c>
      <c r="K83" s="2">
        <f t="shared" ref="K83" si="22">_xlfn.LET(
    _xlpm.o, VALUE(I83),
    _xlpm.prob, IF(_xlpm.o&gt;0, 100/(_xlpm.o+100), ABS(_xlpm.o)/(ABS(_xlpm.o)+100)),
    _xlpm.prob
)</f>
        <v>0.5</v>
      </c>
      <c r="L83" s="5">
        <f t="shared" si="18"/>
        <v>1</v>
      </c>
      <c r="M83" t="s">
        <v>67</v>
      </c>
    </row>
    <row r="84" spans="1:13" x14ac:dyDescent="0.25">
      <c r="A84">
        <v>2</v>
      </c>
      <c r="B84" t="s">
        <v>50</v>
      </c>
      <c r="C84" t="s">
        <v>14</v>
      </c>
      <c r="D84" t="s">
        <v>28</v>
      </c>
      <c r="E84">
        <v>17</v>
      </c>
      <c r="F84">
        <f t="shared" si="21"/>
        <v>83</v>
      </c>
      <c r="G84" t="s">
        <v>54</v>
      </c>
      <c r="H84" t="s">
        <v>5</v>
      </c>
      <c r="I84" s="4">
        <v>100</v>
      </c>
      <c r="J84" s="1" t="str">
        <f>_xlfn.LET(
    _xlpm.o, I84,
    _xlpm.abs_o, ABS(_xlpm.o),
    _xlpm.num, IF(_xlpm.o&gt;0, _xlpm.o, _xlpm.abs_o),
    _xlpm.den, IF(_xlpm.o&gt;0, 100, 100+_xlpm.abs_o),
    _xlpm.g, GCD(_xlpm.num, _xlpm.den),
    (_xlpm.num/_xlpm.g) &amp; "/" &amp; (_xlpm.den/_xlpm.g)
)</f>
        <v>1/1</v>
      </c>
      <c r="K84" s="2">
        <f t="shared" ref="K84" si="23">_xlfn.LET(
    _xlpm.o, VALUE(I84),
    _xlpm.prob, IF(_xlpm.o&gt;0, 100/(_xlpm.o+100), ABS(_xlpm.o)/(ABS(_xlpm.o)+100)),
    _xlpm.prob
)</f>
        <v>0.5</v>
      </c>
      <c r="L84" s="5">
        <f t="shared" si="18"/>
        <v>1</v>
      </c>
      <c r="M84" t="s">
        <v>67</v>
      </c>
    </row>
    <row r="85" spans="1:13" x14ac:dyDescent="0.25">
      <c r="A85">
        <v>2</v>
      </c>
      <c r="B85" t="s">
        <v>50</v>
      </c>
      <c r="C85" t="s">
        <v>14</v>
      </c>
      <c r="D85" t="s">
        <v>28</v>
      </c>
      <c r="E85">
        <v>18</v>
      </c>
      <c r="F85">
        <f t="shared" si="21"/>
        <v>84</v>
      </c>
      <c r="G85" t="s">
        <v>54</v>
      </c>
      <c r="H85" t="s">
        <v>55</v>
      </c>
      <c r="I85" s="4">
        <v>100</v>
      </c>
      <c r="J85" s="1" t="str">
        <f>_xlfn.LET(
    _xlpm.o, I85,
    _xlpm.abs_o, ABS(_xlpm.o),
    _xlpm.num, IF(_xlpm.o&gt;0, _xlpm.o, _xlpm.abs_o),
    _xlpm.den, IF(_xlpm.o&gt;0, 100, 100+_xlpm.abs_o),
    _xlpm.g, GCD(_xlpm.num, _xlpm.den),
    (_xlpm.num/_xlpm.g) &amp; "/" &amp; (_xlpm.den/_xlpm.g)
)</f>
        <v>1/1</v>
      </c>
      <c r="K85" s="2">
        <f t="shared" ref="K85:K88" si="24">_xlfn.LET(
    _xlpm.o, VALUE(I85),
    _xlpm.prob, IF(_xlpm.o&gt;0, 100/(_xlpm.o+100), ABS(_xlpm.o)/(ABS(_xlpm.o)+100)),
    _xlpm.prob
)</f>
        <v>0.5</v>
      </c>
      <c r="L85" s="5">
        <f t="shared" si="18"/>
        <v>1</v>
      </c>
      <c r="M85" t="s">
        <v>67</v>
      </c>
    </row>
    <row r="86" spans="1:13" x14ac:dyDescent="0.25">
      <c r="A86">
        <v>2</v>
      </c>
      <c r="B86" t="s">
        <v>50</v>
      </c>
      <c r="C86" t="s">
        <v>14</v>
      </c>
      <c r="D86" t="s">
        <v>28</v>
      </c>
      <c r="E86">
        <v>18</v>
      </c>
      <c r="F86">
        <f t="shared" si="21"/>
        <v>85</v>
      </c>
      <c r="G86" t="s">
        <v>54</v>
      </c>
      <c r="H86" t="s">
        <v>56</v>
      </c>
      <c r="I86" s="4">
        <v>100</v>
      </c>
      <c r="J86" s="1" t="str">
        <f>_xlfn.LET(
    _xlpm.o, I86,
    _xlpm.abs_o, ABS(_xlpm.o),
    _xlpm.num, IF(_xlpm.o&gt;0, _xlpm.o, _xlpm.abs_o),
    _xlpm.den, IF(_xlpm.o&gt;0, 100, 100+_xlpm.abs_o),
    _xlpm.g, GCD(_xlpm.num, _xlpm.den),
    (_xlpm.num/_xlpm.g) &amp; "/" &amp; (_xlpm.den/_xlpm.g)
)</f>
        <v>1/1</v>
      </c>
      <c r="K86" s="2">
        <f t="shared" si="24"/>
        <v>0.5</v>
      </c>
      <c r="L86" s="5">
        <f t="shared" si="18"/>
        <v>1</v>
      </c>
      <c r="M86" t="s">
        <v>67</v>
      </c>
    </row>
    <row r="87" spans="1:13" x14ac:dyDescent="0.25">
      <c r="A87">
        <v>2</v>
      </c>
      <c r="B87" t="s">
        <v>50</v>
      </c>
      <c r="C87" t="s">
        <v>14</v>
      </c>
      <c r="D87" t="s">
        <v>31</v>
      </c>
      <c r="E87">
        <v>19</v>
      </c>
      <c r="F87">
        <f t="shared" si="21"/>
        <v>86</v>
      </c>
      <c r="G87" s="3" t="s">
        <v>61</v>
      </c>
      <c r="H87" t="s">
        <v>34</v>
      </c>
      <c r="I87" s="4">
        <v>-120</v>
      </c>
      <c r="J87" s="1" t="str">
        <f t="shared" ref="J87:J88" si="25">_xlfn.LET(
    _xlpm.o, I87,
    _xlpm.abs_o, ABS(_xlpm.o),
    _xlpm.num, IF(_xlpm.o&gt;0, _xlpm.o, _xlpm.abs_o),
    _xlpm.den, IF(_xlpm.o&gt;0, 100, 100+_xlpm.abs_o),
    _xlpm.g, GCD(_xlpm.num, _xlpm.den),
    (_xlpm.num/_xlpm.g) &amp; "/" &amp; (_xlpm.den/_xlpm.g)
)</f>
        <v>6/11</v>
      </c>
      <c r="K87" s="2">
        <f t="shared" si="24"/>
        <v>0.54545454545454541</v>
      </c>
      <c r="L87" s="5">
        <f t="shared" si="18"/>
        <v>1</v>
      </c>
      <c r="M87" t="s">
        <v>67</v>
      </c>
    </row>
    <row r="88" spans="1:13" x14ac:dyDescent="0.25">
      <c r="A88">
        <v>2</v>
      </c>
      <c r="B88" t="s">
        <v>50</v>
      </c>
      <c r="C88" t="s">
        <v>14</v>
      </c>
      <c r="D88" t="s">
        <v>31</v>
      </c>
      <c r="E88">
        <v>19</v>
      </c>
      <c r="F88">
        <f t="shared" si="21"/>
        <v>87</v>
      </c>
      <c r="G88" s="3" t="s">
        <v>61</v>
      </c>
      <c r="H88" t="s">
        <v>35</v>
      </c>
      <c r="I88" s="4">
        <v>120</v>
      </c>
      <c r="J88" s="1" t="str">
        <f t="shared" si="25"/>
        <v>6/5</v>
      </c>
      <c r="K88" s="2">
        <f t="shared" si="24"/>
        <v>0.45454545454545453</v>
      </c>
      <c r="L88" s="5">
        <f t="shared" si="18"/>
        <v>1</v>
      </c>
      <c r="M88" t="s">
        <v>67</v>
      </c>
    </row>
  </sheetData>
  <phoneticPr fontId="2" type="noConversion"/>
  <conditionalFormatting sqref="M2:M88">
    <cfRule type="cellIs" dxfId="2" priority="1" operator="equal">
      <formula>"Push"</formula>
    </cfRule>
    <cfRule type="cellIs" dxfId="1" priority="3" operator="equal">
      <formula>"Miss"</formula>
    </cfRule>
    <cfRule type="cellIs" dxfId="0" priority="4" operator="equal">
      <formula>"Hit"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Architecture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Leicht</dc:creator>
  <cp:lastModifiedBy>Pat Leicht</cp:lastModifiedBy>
  <cp:lastPrinted>2023-08-31T22:53:23Z</cp:lastPrinted>
  <dcterms:created xsi:type="dcterms:W3CDTF">2023-03-24T03:56:34Z</dcterms:created>
  <dcterms:modified xsi:type="dcterms:W3CDTF">2026-07-16T00:27:35Z</dcterms:modified>
</cp:coreProperties>
</file>